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Blockception\Software\VSCode-Bedrock-Development-Extension\minecraft-bedrock-schemas\tools\"/>
    </mc:Choice>
  </mc:AlternateContent>
  <xr:revisionPtr revIDLastSave="0" documentId="13_ncr:1_{9BCBAD16-3A69-4F54-98A4-40762AA3A527}" xr6:coauthVersionLast="47" xr6:coauthVersionMax="47" xr10:uidLastSave="{00000000-0000-0000-0000-000000000000}"/>
  <bookViews>
    <workbookView xWindow="6870" yWindow="3945" windowWidth="28800" windowHeight="12375" activeTab="2" xr2:uid="{03531832-3421-4F1A-B28C-9978E920E8BE}"/>
  </bookViews>
  <sheets>
    <sheet name="Item" sheetId="3" r:id="rId1"/>
    <sheet name="Sheet1" sheetId="1" r:id="rId2"/>
    <sheet name="Sheet2" sheetId="5" r:id="rId3"/>
    <sheet name="Data" sheetId="2" r:id="rId4"/>
  </sheets>
  <definedNames>
    <definedName name="Template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" i="5" l="1"/>
  <c r="E7" i="5"/>
  <c r="E8" i="5"/>
  <c r="E9" i="5"/>
  <c r="F6" i="5"/>
  <c r="G6" i="5" s="1"/>
  <c r="F7" i="5"/>
  <c r="G7" i="5" s="1"/>
  <c r="F8" i="5"/>
  <c r="G8" i="5" s="1"/>
  <c r="F9" i="5"/>
  <c r="G9" i="5" s="1"/>
  <c r="H6" i="5"/>
  <c r="H7" i="5"/>
  <c r="H8" i="5"/>
  <c r="H9" i="5"/>
  <c r="E5" i="5"/>
  <c r="E4" i="5"/>
  <c r="E2" i="5"/>
  <c r="I2" i="5" s="1"/>
  <c r="E3" i="5"/>
  <c r="F5" i="5"/>
  <c r="G5" i="5" s="1"/>
  <c r="F4" i="5"/>
  <c r="G4" i="5" s="1"/>
  <c r="F2" i="5"/>
  <c r="G2" i="5" s="1"/>
  <c r="F3" i="5"/>
  <c r="G3" i="5" s="1"/>
  <c r="H5" i="5"/>
  <c r="H4" i="5"/>
  <c r="H2" i="5"/>
  <c r="H3" i="5"/>
  <c r="E2" i="1"/>
  <c r="E3" i="1"/>
  <c r="E4" i="1"/>
  <c r="E5" i="1"/>
  <c r="E6" i="1"/>
  <c r="E7" i="1"/>
  <c r="E8" i="1"/>
  <c r="I8" i="1" s="1"/>
  <c r="E9" i="1"/>
  <c r="I9" i="1" s="1"/>
  <c r="E10" i="1"/>
  <c r="E11" i="1"/>
  <c r="E12" i="1"/>
  <c r="E13" i="1"/>
  <c r="E14" i="1"/>
  <c r="E15" i="1"/>
  <c r="E16" i="1"/>
  <c r="E17" i="1"/>
  <c r="E18" i="1"/>
  <c r="E19" i="1"/>
  <c r="F2" i="1"/>
  <c r="F3" i="1"/>
  <c r="F4" i="1"/>
  <c r="F5" i="1"/>
  <c r="F6" i="1"/>
  <c r="G6" i="1" s="1"/>
  <c r="F7" i="1"/>
  <c r="G7" i="1" s="1"/>
  <c r="F8" i="1"/>
  <c r="F9" i="1"/>
  <c r="F10" i="1"/>
  <c r="F11" i="1"/>
  <c r="F12" i="1"/>
  <c r="F13" i="1"/>
  <c r="F14" i="1"/>
  <c r="I14" i="1" s="1"/>
  <c r="F15" i="1"/>
  <c r="G15" i="1" s="1"/>
  <c r="F16" i="1"/>
  <c r="F17" i="1"/>
  <c r="F18" i="1"/>
  <c r="F19" i="1"/>
  <c r="G2" i="1"/>
  <c r="G3" i="1"/>
  <c r="G4" i="1"/>
  <c r="G5" i="1"/>
  <c r="I5" i="1" s="1"/>
  <c r="G8" i="1"/>
  <c r="G9" i="1"/>
  <c r="G10" i="1"/>
  <c r="G11" i="1"/>
  <c r="G12" i="1"/>
  <c r="G13" i="1"/>
  <c r="G14" i="1"/>
  <c r="G16" i="1"/>
  <c r="G17" i="1"/>
  <c r="G18" i="1"/>
  <c r="G19" i="1"/>
  <c r="H2" i="1"/>
  <c r="H3" i="1"/>
  <c r="I3" i="1" s="1"/>
  <c r="H4" i="1"/>
  <c r="H5" i="1"/>
  <c r="H6" i="1"/>
  <c r="H7" i="1"/>
  <c r="H8" i="1"/>
  <c r="H9" i="1"/>
  <c r="H10" i="1"/>
  <c r="H11" i="1"/>
  <c r="I11" i="1" s="1"/>
  <c r="H12" i="1"/>
  <c r="I12" i="1" s="1"/>
  <c r="H13" i="1"/>
  <c r="H14" i="1"/>
  <c r="H15" i="1"/>
  <c r="H16" i="1"/>
  <c r="H17" i="1"/>
  <c r="H18" i="1"/>
  <c r="H19" i="1"/>
  <c r="I19" i="1" s="1"/>
  <c r="I2" i="1"/>
  <c r="I4" i="1"/>
  <c r="I10" i="1"/>
  <c r="I16" i="1"/>
  <c r="I17" i="1"/>
  <c r="I18" i="1"/>
  <c r="E3" i="3"/>
  <c r="E4" i="3"/>
  <c r="E5" i="3"/>
  <c r="E6" i="3"/>
  <c r="E7" i="3"/>
  <c r="E8" i="3"/>
  <c r="E9" i="3"/>
  <c r="E10" i="3"/>
  <c r="F10" i="3" s="1"/>
  <c r="F3" i="3"/>
  <c r="F4" i="3"/>
  <c r="F5" i="3"/>
  <c r="F6" i="3"/>
  <c r="F7" i="3"/>
  <c r="F8" i="3"/>
  <c r="F9" i="3"/>
  <c r="G3" i="3"/>
  <c r="G4" i="3"/>
  <c r="G5" i="3"/>
  <c r="G6" i="3"/>
  <c r="G7" i="3"/>
  <c r="G8" i="3"/>
  <c r="G9" i="3"/>
  <c r="G10" i="3"/>
  <c r="H3" i="3"/>
  <c r="H4" i="3"/>
  <c r="H5" i="3"/>
  <c r="H6" i="3"/>
  <c r="H7" i="3"/>
  <c r="H8" i="3"/>
  <c r="H9" i="3"/>
  <c r="H10" i="3"/>
  <c r="I5" i="5" l="1"/>
  <c r="I8" i="5"/>
  <c r="I4" i="5"/>
  <c r="I6" i="5"/>
  <c r="I3" i="5"/>
  <c r="I7" i="5"/>
  <c r="I9" i="5"/>
  <c r="I13" i="1"/>
  <c r="I6" i="1"/>
  <c r="I15" i="1"/>
  <c r="I7" i="1"/>
  <c r="E2" i="3"/>
  <c r="F2" i="3" s="1"/>
  <c r="G2" i="3"/>
  <c r="K2" i="5" l="1"/>
  <c r="H2" i="3"/>
  <c r="J2" i="3" s="1"/>
  <c r="K2" i="1"/>
</calcChain>
</file>

<file path=xl/sharedStrings.xml><?xml version="1.0" encoding="utf-8"?>
<sst xmlns="http://schemas.openxmlformats.org/spreadsheetml/2006/main" count="153" uniqueCount="99">
  <si>
    <t>Name</t>
  </si>
  <si>
    <t>Type</t>
  </si>
  <si>
    <t>Default Value</t>
  </si>
  <si>
    <t>Description</t>
  </si>
  <si>
    <t>Json Schema</t>
  </si>
  <si>
    <t>Cname</t>
  </si>
  <si>
    <t>Ctype</t>
  </si>
  <si>
    <t>Cdescription</t>
  </si>
  <si>
    <t>Cdefault</t>
  </si>
  <si>
    <t>Decimal</t>
  </si>
  <si>
    <t>not set</t>
  </si>
  <si>
    <t>String</t>
  </si>
  <si>
    <t>attack</t>
  </si>
  <si>
    <t>0.3</t>
  </si>
  <si>
    <t>Amount of exhaustion applied when attacking.</t>
  </si>
  <si>
    <t>damage</t>
  </si>
  <si>
    <t>0.1</t>
  </si>
  <si>
    <t>Amount of exhaustion applied when taking damage.</t>
  </si>
  <si>
    <t>heal</t>
  </si>
  <si>
    <t>Amount of exhaustion applied when healed through food regeneration.</t>
  </si>
  <si>
    <t>jump</t>
  </si>
  <si>
    <t>0.2</t>
  </si>
  <si>
    <t>Amount of exhaustion applied when jumping.</t>
  </si>
  <si>
    <t>mine</t>
  </si>
  <si>
    <t>0.025</t>
  </si>
  <si>
    <t>Amount of exhaustion applied when mining.</t>
  </si>
  <si>
    <t>sprint</t>
  </si>
  <si>
    <t>0.01</t>
  </si>
  <si>
    <t>Amount of exhaustion applied when sprinting.</t>
  </si>
  <si>
    <t>sprint_jump</t>
  </si>
  <si>
    <t>0.8</t>
  </si>
  <si>
    <t>Amount of exhaustion applied when sprint jumping.</t>
  </si>
  <si>
    <t>swim</t>
  </si>
  <si>
    <t>0.015</t>
  </si>
  <si>
    <t>Amount of exhaustion applied when swimming.</t>
  </si>
  <si>
    <t>walk</t>
  </si>
  <si>
    <t>Amount of exhaustion applied when walking.</t>
  </si>
  <si>
    <t xml:space="preserve">    "$NAME$": {
      "title": "$TITLE$",
      "type": "$TYPE$",
      "default": $VALUE$,
      "description": "$DESCRIPTION$"
    },</t>
  </si>
  <si>
    <t>catch_fire</t>
  </si>
  <si>
    <t>Boolean</t>
  </si>
  <si>
    <t>Determines if the struck object is set on fire.</t>
  </si>
  <si>
    <t>definition_event</t>
  </si>
  <si>
    <t>event</t>
  </si>
  <si>
    <t>The event that is triggered on a hit. See the table below for all definition event parameters.</t>
  </si>
  <si>
    <t>douse_fire</t>
  </si>
  <si>
    <t>If the target is on fire, then douse hte fire.</t>
  </si>
  <si>
    <t>freeze_on_hit</t>
  </si>
  <si>
    <t>JSON Object</t>
  </si>
  <si>
    <t>An area of entities that is frozen to block on hits. Has shape of either sphere or cube, snap_to_block boolean ,and size decimal properties.</t>
  </si>
  <si>
    <t>grant_xp</t>
  </si>
  <si>
    <t>Grants XP on hit. Has minXP for minimum XP granted, maxXp for maximum, or simply flat xp properties.</t>
  </si>
  <si>
    <t>hurt_owner</t>
  </si>
  <si>
    <t>Determines if the owner of the entity is hurt on hit. Contains decimal owner_damage, knockback boolean, and ignite boolean.</t>
  </si>
  <si>
    <t>ignite</t>
  </si>
  <si>
    <t>Determines if a fire may be started on a flammable target.</t>
  </si>
  <si>
    <t>impact_damage</t>
  </si>
  <si>
    <t>Defines the damage that an entity may receive on being hit by this projectile. See the table below for all impact_damage parameters.</t>
  </si>
  <si>
    <t>mob_effect</t>
  </si>
  <si>
    <t>The target receives a mob effect. See the table below for all mob_effect parameters.</t>
  </si>
  <si>
    <t>on_fire_time</t>
  </si>
  <si>
    <t>0.0</t>
  </si>
  <si>
    <t>float</t>
  </si>
  <si>
    <t>The amount of time a target will remain on fire.</t>
  </si>
  <si>
    <t>particle_on_hit</t>
  </si>
  <si>
    <t>The particles that spawn on hit. See the table below for all particle_on_hit parameters.</t>
  </si>
  <si>
    <t>potion_effect</t>
  </si>
  <si>
    <t>Integer</t>
  </si>
  <si>
    <t>Defines the effect the arrow will apply to the entity it hits.</t>
  </si>
  <si>
    <t>remove_on_hit</t>
  </si>
  <si>
    <t>Removes the projectile.</t>
  </si>
  <si>
    <t>spawn_aoe_cloud</t>
  </si>
  <si>
    <t>Potion spawns an area of effect cloud. See the table below for all spawn_aoe_cloud parameters.</t>
  </si>
  <si>
    <t>spawn_chance</t>
  </si>
  <si>
    <t>JSON Ojbect</t>
  </si>
  <si>
    <t>Contains information on the chance of spawning an entity on hit. See parameters below.</t>
  </si>
  <si>
    <t>stick_in_ground</t>
  </si>
  <si>
    <t>Object</t>
  </si>
  <si>
    <r>
      <t>Decides if the object sticks in ground and contains </t>
    </r>
    <r>
      <rPr>
        <sz val="9"/>
        <color rgb="FFE6E6E6"/>
        <rFont val="Consolas"/>
        <family val="3"/>
      </rPr>
      <t>shake_time</t>
    </r>
    <r>
      <rPr>
        <sz val="11"/>
        <color rgb="FFE6E6E6"/>
        <rFont val="Segoe UI"/>
        <family val="2"/>
      </rPr>
      <t> integer parameter to determine how long it will shake.</t>
    </r>
  </si>
  <si>
    <t>teleport_owner</t>
  </si>
  <si>
    <t>Determines if the owner is transported on hit.</t>
  </si>
  <si>
    <t>thrown_potion_effect</t>
  </si>
  <si>
    <t>"thrown_potion_effect" : {}</t>
  </si>
  <si>
    <t>Creates a splash area for effects caused by a thrown potion.</t>
  </si>
  <si>
    <t>duration</t>
  </si>
  <si>
    <t>amplifier</t>
  </si>
  <si>
    <t>The multiplier of the amplification of this effect.</t>
  </si>
  <si>
    <t>ambient</t>
  </si>
  <si>
    <t>If true, a mob will spawn that is not hostile, like the bat entity in Minecraft.</t>
  </si>
  <si>
    <t>The effect's duration.</t>
  </si>
  <si>
    <t>durationeasy</t>
  </si>
  <si>
    <t>The effect's duration on easy mode.</t>
  </si>
  <si>
    <t>durationhard</t>
  </si>
  <si>
    <t>The effect's duration on hard mode.</t>
  </si>
  <si>
    <t>durationnormal</t>
  </si>
  <si>
    <t>The effect's duration on normal mode.</t>
  </si>
  <si>
    <t>effect</t>
  </si>
  <si>
    <t>The identifier of the mob entity to affect.</t>
  </si>
  <si>
    <t>visible</t>
  </si>
  <si>
    <t>Does the entity's look change.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</si>
</sst>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  <font>
      <sz val="11"/>
      <color rgb="FFE6E6E6"/>
      <name val="Segoe UI"/>
      <family val="2"/>
    </font>
    <font>
      <i/>
      <sz val="11"/>
      <color rgb="FFE6E6E6"/>
      <name val="Segoe UI"/>
      <family val="2"/>
    </font>
    <font>
      <sz val="9"/>
      <color rgb="FFE6E6E6"/>
      <name val="Consolas"/>
      <family val="3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71717"/>
        <bgColor indexed="64"/>
      </patternFill>
    </fill>
  </fills>
  <borders count="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NumberFormat="1"/>
    <xf numFmtId="0" fontId="2" fillId="0" borderId="2" xfId="0" applyFont="1" applyBorder="1" applyAlignment="1">
      <alignment vertical="center" wrapText="1"/>
    </xf>
    <xf numFmtId="0" fontId="3" fillId="2" borderId="0" xfId="0" applyFont="1" applyFill="1" applyAlignment="1">
      <alignment horizontal="left" vertical="top" wrapText="1"/>
    </xf>
    <xf numFmtId="0" fontId="4" fillId="2" borderId="0" xfId="0" applyFont="1" applyFill="1" applyAlignment="1">
      <alignment horizontal="left" vertical="top" wrapText="1"/>
    </xf>
    <xf numFmtId="0" fontId="6" fillId="2" borderId="0" xfId="1" applyFill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446C57-C8B9-4AD3-B032-91AD9E294BCC}" name="Table13" displayName="Table13" ref="A1:H10" totalsRowShown="0">
  <autoFilter ref="A1:H10" xr:uid="{439841C6-9CB3-4077-BD6A-80332BFA4FFA}"/>
  <sortState xmlns:xlrd2="http://schemas.microsoft.com/office/spreadsheetml/2017/richdata2" ref="A2:H2">
    <sortCondition ref="A1:A2"/>
  </sortState>
  <tableColumns count="8">
    <tableColumn id="1" xr3:uid="{CAE141B7-8304-420A-A1B3-D63EC10598B7}" name="Name"/>
    <tableColumn id="2" xr3:uid="{167B2AA6-D474-4333-A79A-8101562054ED}" name="Type"/>
    <tableColumn id="4" xr3:uid="{6E4D3870-543A-46B0-8EAE-220562CD8B4B}" name="Description"/>
    <tableColumn id="8" xr3:uid="{79476936-18F0-4A34-B22A-2CD82F63DCF4}" name="Cname"/>
    <tableColumn id="7" xr3:uid="{C2947D3C-98D6-4813-88A5-57032EB3B924}" name="Ctype">
      <calculatedColumnFormula>SUBSTITUTE(SUBSTITUTE(LOWER(Table13[[#This Row],[Type]]),"decimal", "number"), "list", "array")</calculatedColumnFormula>
    </tableColumn>
    <tableColumn id="9" xr3:uid="{785E0F0E-DAFE-4F6C-B94A-A2646AEA314A}" name="Cdefault" dataDxfId="6">
      <calculatedColumnFormula>IF(Table13[[#This Row],[Ctype]]="string", CHAR(34) &amp;#REF! &amp; CHAR(34), LOWER(#REF!))</calculatedColumnFormula>
    </tableColumn>
    <tableColumn id="6" xr3:uid="{38905391-079D-4DC7-95B4-296D43693D9F}" name="Cdescription">
      <calculatedColumnFormula>SUBSTITUTE(Table13[[#This Row],[Description]], CHAR(34), "\" &amp; CHAR(34))</calculatedColumnFormula>
    </tableColumn>
    <tableColumn id="5" xr3:uid="{ED53171A-0430-4004-8D17-583F8F163190}" name="Json Schema" dataDxfId="5">
      <calculatedColumnFormula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116B3-0007-4D20-9286-68F7BD230BDB}" name="Table1" displayName="Table1" ref="A1:I19" totalsRowShown="0">
  <autoFilter ref="A1:I19" xr:uid="{439841C6-9CB3-4077-BD6A-80332BFA4FFA}"/>
  <sortState xmlns:xlrd2="http://schemas.microsoft.com/office/spreadsheetml/2017/richdata2" ref="A2:I19">
    <sortCondition ref="A1:A19"/>
  </sortState>
  <tableColumns count="9">
    <tableColumn id="1" xr3:uid="{69009C7E-E532-4DCD-BC85-F6C8A2BF783F}" name="Name"/>
    <tableColumn id="2" xr3:uid="{51C9B8E8-45FE-4EED-BB0F-05ACF960DCA5}" name="Type"/>
    <tableColumn id="3" xr3:uid="{9BEDF3B8-DD6A-493D-87E4-86F18290C962}" name="Default Value"/>
    <tableColumn id="4" xr3:uid="{460B714C-F886-43D4-BEF5-222E6519FA82}" name="Description"/>
    <tableColumn id="8" xr3:uid="{F7F4D22B-89FA-4BF7-9CD7-3493546FB499}" name="Cname">
      <calculatedColumnFormula>Table1[[#This Row],[Name]]</calculatedColumnFormula>
    </tableColumn>
    <tableColumn id="7" xr3:uid="{5BCDDD8B-3993-4CA1-9029-A7034EC6459C}" name="Ctype">
      <calculatedColumnFormula>SUBSTITUTE(SUBSTITUTE(LOWER(Table1[[#This Row],[Type]]),"decimal", "number"), "list", "array")</calculatedColumnFormula>
    </tableColumn>
    <tableColumn id="9" xr3:uid="{33B88AA2-B199-459B-811C-ED986D928870}" name="Cdefault" dataDxfId="4">
      <calculatedColumnFormula>IF(Table1[[#This Row],[Ctype]]="string", CHAR(34) &amp; Table1[[#This Row],[Default Value]] &amp; CHAR(34), LOWER(Table1[[#This Row],[Default Value]]))</calculatedColumnFormula>
    </tableColumn>
    <tableColumn id="6" xr3:uid="{367BB0CD-8D97-419C-A3FC-663E45A6296E}" name="Cdescription">
      <calculatedColumnFormula>SUBSTITUTE(Table1[[#This Row],[Description]], CHAR(34), "\" &amp; CHAR(34))</calculatedColumnFormula>
    </tableColumn>
    <tableColumn id="5" xr3:uid="{203405C4-B9D5-43A2-B6BA-2A1280C3378D}" name="Json Schema" dataDxfId="3">
      <calculatedColumnFormula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4AF616-376F-47F0-AD2D-2C11C0D4B756}" name="Table14" displayName="Table14" ref="A1:I9" totalsRowShown="0">
  <autoFilter ref="A1:I9" xr:uid="{439841C6-9CB3-4077-BD6A-80332BFA4FFA}"/>
  <sortState xmlns:xlrd2="http://schemas.microsoft.com/office/spreadsheetml/2017/richdata2" ref="A2:I9">
    <sortCondition ref="A1:A19"/>
  </sortState>
  <tableColumns count="9">
    <tableColumn id="1" xr3:uid="{44A08CF4-8AEF-46C8-8501-5F2D1EB72A8E}" name="Name"/>
    <tableColumn id="2" xr3:uid="{6393EEBD-8CD4-4990-BA87-C270575B6882}" name="Default Value"/>
    <tableColumn id="3" xr3:uid="{6EED793A-2AA3-47E0-89BE-95855BB90671}" name="Type"/>
    <tableColumn id="4" xr3:uid="{3D93FF74-FF63-4DF7-9805-8DE93A92BF74}" name="Description"/>
    <tableColumn id="8" xr3:uid="{FAB00FDC-BE26-4D71-8038-D2FBEFFEF504}" name="Cname">
      <calculatedColumnFormula>Table14[[#This Row],[Name]]</calculatedColumnFormula>
    </tableColumn>
    <tableColumn id="7" xr3:uid="{7DB1CA88-F1ED-42F3-AE40-05FC1B746E52}" name="Ctype" dataDxfId="2">
      <calculatedColumnFormula>SUBSTITUTE(SUBSTITUTE(LOWER(Table14[[#This Row],[Type]]),"decimal", "number"), "list", "array")</calculatedColumnFormula>
    </tableColumn>
    <tableColumn id="9" xr3:uid="{904BCF27-C51A-47B7-B375-FF536F5BDAF2}" name="Cdefault" dataDxfId="1">
      <calculatedColumnFormula>IF(Table14[[#This Row],[Ctype]]="string", CHAR(34) &amp; Table14[[#This Row],[Default Value]] &amp; CHAR(34), LOWER(Table14[[#This Row],[Default Value]]))</calculatedColumnFormula>
    </tableColumn>
    <tableColumn id="6" xr3:uid="{DB7176BC-4592-4253-B8F9-38D43BA3D906}" name="Cdescription">
      <calculatedColumnFormula>SUBSTITUTE(Table14[[#This Row],[Description]], CHAR(34), "\" &amp; CHAR(34))</calculatedColumnFormula>
    </tableColumn>
    <tableColumn id="5" xr3:uid="{D37B5709-20AC-4724-AAFB-21732044F4BB}" name="Json Schema" dataDxfId="0">
      <calculatedColumnFormula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docs.microsoft.com/en-us/minecraft/creator/reference/content/entityreference/examples/entitycomponents/minecraftcomponent_projectile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docs.microsoft.com/en-us/minecraft/creator/reference/content/entityreference/examples/entitycomponents/minecraftcomponent_projectile" TargetMode="External"/><Relationship Id="rId1" Type="http://schemas.openxmlformats.org/officeDocument/2006/relationships/hyperlink" Target="https://docs.microsoft.com/en-us/minecraft/creator/reference/content/entityreference/examples/entitycomponents/minecraftcomponent_projectile" TargetMode="External"/><Relationship Id="rId6" Type="http://schemas.openxmlformats.org/officeDocument/2006/relationships/printerSettings" Target="../printerSettings/printerSettings2.bin"/><Relationship Id="rId11" Type="http://schemas.openxmlformats.org/officeDocument/2006/relationships/table" Target="../tables/table2.xml"/><Relationship Id="rId5" Type="http://schemas.openxmlformats.org/officeDocument/2006/relationships/hyperlink" Target="https://docs.microsoft.com/en-us/minecraft/creator/reference/content/entityreference/examples/entitycomponents/minecraftcomponent_projectile" TargetMode="External"/><Relationship Id="rId10" Type="http://schemas.openxmlformats.org/officeDocument/2006/relationships/ctrlProp" Target="../ctrlProps/ctrlProp4.xml"/><Relationship Id="rId4" Type="http://schemas.openxmlformats.org/officeDocument/2006/relationships/hyperlink" Target="https://docs.microsoft.com/en-us/minecraft/creator/reference/content/entityreference/examples/entitycomponents/minecraftcomponent_projectile" TargetMode="External"/><Relationship Id="rId9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DFF6-A942-43EC-BF3A-8A01DF4D4042}">
  <sheetPr codeName="Sheet3"/>
  <dimension ref="A1:J11"/>
  <sheetViews>
    <sheetView workbookViewId="0">
      <selection activeCell="M3" sqref="M3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65.7109375" bestFit="1" customWidth="1"/>
    <col min="4" max="4" width="18.140625" hidden="1" customWidth="1"/>
    <col min="5" max="6" width="8.42578125" hidden="1" customWidth="1"/>
    <col min="7" max="7" width="15.140625" hidden="1" customWidth="1"/>
    <col min="8" max="8" width="14.28515625" customWidth="1"/>
  </cols>
  <sheetData>
    <row r="1" spans="1:10" ht="52.5" customHeight="1" thickBot="1" x14ac:dyDescent="0.3">
      <c r="A1" t="s">
        <v>0</v>
      </c>
      <c r="B1" t="s">
        <v>1</v>
      </c>
      <c r="C1" t="s">
        <v>3</v>
      </c>
      <c r="D1" t="s">
        <v>5</v>
      </c>
      <c r="E1" t="s">
        <v>6</v>
      </c>
      <c r="F1" t="s">
        <v>8</v>
      </c>
      <c r="G1" t="s">
        <v>7</v>
      </c>
      <c r="H1" t="s">
        <v>4</v>
      </c>
    </row>
    <row r="2" spans="1:10" ht="46.5" thickTop="1" thickBot="1" x14ac:dyDescent="0.3">
      <c r="A2" s="4" t="s">
        <v>12</v>
      </c>
      <c r="B2" s="4" t="s">
        <v>9</v>
      </c>
      <c r="C2" s="4" t="s">
        <v>13</v>
      </c>
      <c r="D2" s="4" t="s">
        <v>14</v>
      </c>
      <c r="E2" t="str">
        <f>SUBSTITUTE(SUBSTITUTE(LOWER(Table13[[#This Row],[Type]]),"decimal", "number"), "list", "array")</f>
        <v>number</v>
      </c>
      <c r="F2" s="3" t="e">
        <f>IF(Table13[[#This Row],[Ctype]]="string", CHAR(34) &amp;#REF! &amp; CHAR(34), LOWER(#REF!))</f>
        <v>#REF!</v>
      </c>
      <c r="G2" t="str">
        <f>SUBSTITUTE(Table13[[#This Row],[Description]], CHAR(34), "\" &amp; CHAR(34))</f>
        <v>0.3</v>
      </c>
      <c r="H2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attacking.": {
      "title": "attack",
      "type": "number",
      "default": ,
      "description": "0.3"
    },</v>
      </c>
      <c r="J2" s="2" t="str">
        <f>_xlfn.CONCAT(Table13[Json Schema])</f>
        <v xml:space="preserve">    "Amount of exhaustion applied when attacking.": {
      "title": "attack",
      "type": "number",
      "default": ,
      "description": "0.3"
    },    "Amount of exhaustion applied when taking damage.": {
      "title": "damage",
      "type": "number",
      "default": ,
      "description": "0.1"
    },    "Amount of exhaustion applied when healed through food regeneration.": {
      "title": "heal",
      "type": "number",
      "default": ,
      "description": "3"
    },    "Amount of exhaustion applied when jumping.": {
      "title": "jump",
      "type": "number",
      "default": ,
      "description": "0.2"
    },    "Amount of exhaustion applied when mining.": {
      "title": "mine",
      "type": "number",
      "default": ,
      "description": "0.025"
    },    "Amount of exhaustion applied when sprinting.": {
      "title": "sprint",
      "type": "number",
      "default": ,
      "description": "0.01"
    },    "Amount of exhaustion applied when sprint jumping.": {
      "title": "sprint jump",
      "type": "number",
      "default": ,
      "description": "0.8"
    },    "Amount of exhaustion applied when swimming.": {
      "title": "swim",
      "type": "number",
      "default": ,
      "description": "0.015"
    },    "Amount of exhaustion applied when walking.": {
      "title": "walk",
      "type": "number",
      "default": ,
      "description": "0.01"
    },</v>
      </c>
    </row>
    <row r="3" spans="1:10" ht="61.5" thickTop="1" thickBot="1" x14ac:dyDescent="0.3">
      <c r="A3" s="4" t="s">
        <v>15</v>
      </c>
      <c r="B3" s="4" t="s">
        <v>9</v>
      </c>
      <c r="C3" s="4" t="s">
        <v>16</v>
      </c>
      <c r="D3" s="4" t="s">
        <v>17</v>
      </c>
      <c r="E3" t="str">
        <f>SUBSTITUTE(SUBSTITUTE(LOWER(Table13[[#This Row],[Type]]),"decimal", "number"), "list", "array")</f>
        <v>number</v>
      </c>
      <c r="F3" s="3" t="e">
        <f>IF(Table13[[#This Row],[Ctype]]="string", CHAR(34) &amp;#REF! &amp; CHAR(34), LOWER(#REF!))</f>
        <v>#REF!</v>
      </c>
      <c r="G3" t="str">
        <f>SUBSTITUTE(Table13[[#This Row],[Description]], CHAR(34), "\" &amp; CHAR(34))</f>
        <v>0.1</v>
      </c>
      <c r="H3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taking damage.": {
      "title": "damage",
      "type": "number",
      "default": ,
      "description": "0.1"
    },</v>
      </c>
    </row>
    <row r="4" spans="1:10" ht="76.5" thickTop="1" thickBot="1" x14ac:dyDescent="0.3">
      <c r="A4" s="4" t="s">
        <v>18</v>
      </c>
      <c r="B4" s="4" t="s">
        <v>9</v>
      </c>
      <c r="C4" s="4">
        <v>3</v>
      </c>
      <c r="D4" s="4" t="s">
        <v>19</v>
      </c>
      <c r="E4" t="str">
        <f>SUBSTITUTE(SUBSTITUTE(LOWER(Table13[[#This Row],[Type]]),"decimal", "number"), "list", "array")</f>
        <v>number</v>
      </c>
      <c r="F4" s="3" t="e">
        <f>IF(Table13[[#This Row],[Ctype]]="string", CHAR(34) &amp;#REF! &amp; CHAR(34), LOWER(#REF!))</f>
        <v>#REF!</v>
      </c>
      <c r="G4" t="str">
        <f>SUBSTITUTE(Table13[[#This Row],[Description]], CHAR(34), "\" &amp; CHAR(34))</f>
        <v>3</v>
      </c>
      <c r="H4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healed through food regeneration.": {
      "title": "heal",
      "type": "number",
      "default": ,
      "description": "3"
    },</v>
      </c>
    </row>
    <row r="5" spans="1:10" ht="46.5" thickTop="1" thickBot="1" x14ac:dyDescent="0.3">
      <c r="A5" s="4" t="s">
        <v>20</v>
      </c>
      <c r="B5" s="4" t="s">
        <v>9</v>
      </c>
      <c r="C5" s="4" t="s">
        <v>21</v>
      </c>
      <c r="D5" s="4" t="s">
        <v>22</v>
      </c>
      <c r="E5" t="str">
        <f>SUBSTITUTE(SUBSTITUTE(LOWER(Table13[[#This Row],[Type]]),"decimal", "number"), "list", "array")</f>
        <v>number</v>
      </c>
      <c r="F5" s="3" t="e">
        <f>IF(Table13[[#This Row],[Ctype]]="string", CHAR(34) &amp;#REF! &amp; CHAR(34), LOWER(#REF!))</f>
        <v>#REF!</v>
      </c>
      <c r="G5" t="str">
        <f>SUBSTITUTE(Table13[[#This Row],[Description]], CHAR(34), "\" &amp; CHAR(34))</f>
        <v>0.2</v>
      </c>
      <c r="H5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jumping.": {
      "title": "jump",
      "type": "number",
      "default": ,
      "description": "0.2"
    },</v>
      </c>
    </row>
    <row r="6" spans="1:10" ht="46.5" thickTop="1" thickBot="1" x14ac:dyDescent="0.3">
      <c r="A6" s="4" t="s">
        <v>23</v>
      </c>
      <c r="B6" s="4" t="s">
        <v>9</v>
      </c>
      <c r="C6" s="4" t="s">
        <v>24</v>
      </c>
      <c r="D6" s="4" t="s">
        <v>25</v>
      </c>
      <c r="E6" t="str">
        <f>SUBSTITUTE(SUBSTITUTE(LOWER(Table13[[#This Row],[Type]]),"decimal", "number"), "list", "array")</f>
        <v>number</v>
      </c>
      <c r="F6" s="3" t="e">
        <f>IF(Table13[[#This Row],[Ctype]]="string", CHAR(34) &amp;#REF! &amp; CHAR(34), LOWER(#REF!))</f>
        <v>#REF!</v>
      </c>
      <c r="G6" t="str">
        <f>SUBSTITUTE(Table13[[#This Row],[Description]], CHAR(34), "\" &amp; CHAR(34))</f>
        <v>0.025</v>
      </c>
      <c r="H6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mining.": {
      "title": "mine",
      "type": "number",
      "default": ,
      "description": "0.025"
    },</v>
      </c>
    </row>
    <row r="7" spans="1:10" ht="46.5" thickTop="1" thickBot="1" x14ac:dyDescent="0.3">
      <c r="A7" s="4" t="s">
        <v>26</v>
      </c>
      <c r="B7" s="4" t="s">
        <v>9</v>
      </c>
      <c r="C7" s="4" t="s">
        <v>27</v>
      </c>
      <c r="D7" s="4" t="s">
        <v>28</v>
      </c>
      <c r="E7" t="str">
        <f>SUBSTITUTE(SUBSTITUTE(LOWER(Table13[[#This Row],[Type]]),"decimal", "number"), "list", "array")</f>
        <v>number</v>
      </c>
      <c r="F7" s="3" t="e">
        <f>IF(Table13[[#This Row],[Ctype]]="string", CHAR(34) &amp;#REF! &amp; CHAR(34), LOWER(#REF!))</f>
        <v>#REF!</v>
      </c>
      <c r="G7" t="str">
        <f>SUBSTITUTE(Table13[[#This Row],[Description]], CHAR(34), "\" &amp; CHAR(34))</f>
        <v>0.01</v>
      </c>
      <c r="H7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sprinting.": {
      "title": "sprint",
      "type": "number",
      "default": ,
      "description": "0.01"
    },</v>
      </c>
    </row>
    <row r="8" spans="1:10" ht="61.5" thickTop="1" thickBot="1" x14ac:dyDescent="0.3">
      <c r="A8" s="4" t="s">
        <v>29</v>
      </c>
      <c r="B8" s="4" t="s">
        <v>9</v>
      </c>
      <c r="C8" s="4" t="s">
        <v>30</v>
      </c>
      <c r="D8" s="4" t="s">
        <v>31</v>
      </c>
      <c r="E8" t="str">
        <f>SUBSTITUTE(SUBSTITUTE(LOWER(Table13[[#This Row],[Type]]),"decimal", "number"), "list", "array")</f>
        <v>number</v>
      </c>
      <c r="F8" s="3" t="e">
        <f>IF(Table13[[#This Row],[Ctype]]="string", CHAR(34) &amp;#REF! &amp; CHAR(34), LOWER(#REF!))</f>
        <v>#REF!</v>
      </c>
      <c r="G8" t="str">
        <f>SUBSTITUTE(Table13[[#This Row],[Description]], CHAR(34), "\" &amp; CHAR(34))</f>
        <v>0.8</v>
      </c>
      <c r="H8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sprint jumping.": {
      "title": "sprint jump",
      "type": "number",
      "default": ,
      "description": "0.8"
    },</v>
      </c>
    </row>
    <row r="9" spans="1:10" ht="46.5" thickTop="1" thickBot="1" x14ac:dyDescent="0.3">
      <c r="A9" s="4" t="s">
        <v>32</v>
      </c>
      <c r="B9" s="4" t="s">
        <v>9</v>
      </c>
      <c r="C9" s="4" t="s">
        <v>33</v>
      </c>
      <c r="D9" s="4" t="s">
        <v>34</v>
      </c>
      <c r="E9" t="str">
        <f>SUBSTITUTE(SUBSTITUTE(LOWER(Table13[[#This Row],[Type]]),"decimal", "number"), "list", "array")</f>
        <v>number</v>
      </c>
      <c r="F9" s="3" t="e">
        <f>IF(Table13[[#This Row],[Ctype]]="string", CHAR(34) &amp;#REF! &amp; CHAR(34), LOWER(#REF!))</f>
        <v>#REF!</v>
      </c>
      <c r="G9" t="str">
        <f>SUBSTITUTE(Table13[[#This Row],[Description]], CHAR(34), "\" &amp; CHAR(34))</f>
        <v>0.015</v>
      </c>
      <c r="H9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swimming.": {
      "title": "swim",
      "type": "number",
      "default": ,
      "description": "0.015"
    },</v>
      </c>
    </row>
    <row r="10" spans="1:10" ht="46.5" thickTop="1" thickBot="1" x14ac:dyDescent="0.3">
      <c r="A10" s="4" t="s">
        <v>35</v>
      </c>
      <c r="B10" s="4" t="s">
        <v>9</v>
      </c>
      <c r="C10" s="4" t="s">
        <v>27</v>
      </c>
      <c r="D10" s="4" t="s">
        <v>36</v>
      </c>
      <c r="E10" t="str">
        <f>SUBSTITUTE(SUBSTITUTE(LOWER(Table13[[#This Row],[Type]]),"decimal", "number"), "list", "array")</f>
        <v>number</v>
      </c>
      <c r="F10" s="3" t="e">
        <f>IF(Table13[[#This Row],[Ctype]]="string", CHAR(34) &amp;#REF! &amp; CHAR(34), LOWER(#REF!))</f>
        <v>#REF!</v>
      </c>
      <c r="G10" t="str">
        <f>SUBSTITUTE(Table13[[#This Row],[Description]], CHAR(34), "\" &amp; CHAR(34))</f>
        <v>0.01</v>
      </c>
      <c r="H10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walking.": {
      "title": "walk",
      "type": "number",
      "default": ,
      "description": "0.01"
    },</v>
      </c>
    </row>
    <row r="11" spans="1:10" ht="15.75" thickTop="1" x14ac:dyDescent="0.25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2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cro3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6657-4584-43E8-87D9-83BF6B68546D}">
  <sheetPr codeName="Sheet1"/>
  <dimension ref="A1:K19"/>
  <sheetViews>
    <sheetView workbookViewId="0">
      <selection activeCell="L4" sqref="L4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bestFit="1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18" thickTop="1" thickBot="1" x14ac:dyDescent="0.3">
      <c r="A2" s="5" t="s">
        <v>38</v>
      </c>
      <c r="B2" s="5" t="b">
        <v>0</v>
      </c>
      <c r="C2" s="5" t="s">
        <v>39</v>
      </c>
      <c r="D2" s="5" t="s">
        <v>40</v>
      </c>
      <c r="E2" t="str">
        <f>Table1[[#This Row],[Name]]</f>
        <v>catch_fire</v>
      </c>
      <c r="F2" t="str">
        <f>SUBSTITUTE(SUBSTITUTE(LOWER(Table1[[#This Row],[Type]]),"decimal", "number"), "list", "array")</f>
        <v>false</v>
      </c>
      <c r="G2" s="3" t="str">
        <f>IF(Table1[[#This Row],[Ctype]]="string", CHAR(34) &amp; Table1[[#This Row],[Default Value]] &amp; CHAR(34), LOWER(Table1[[#This Row],[Default Value]]))</f>
        <v>boolean</v>
      </c>
      <c r="H2" t="str">
        <f>SUBSTITUTE(Table1[[#This Row],[Description]], CHAR(34), "\" &amp; CHAR(34))</f>
        <v>Determines if the struck object is set on fire.</v>
      </c>
      <c r="I2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"catch_fire": {
      "title": "catch fire",
      "type": "false",
      "default": boolean,
      "description": "Determines if the struck object is set on fire."
    },</v>
      </c>
      <c r="K2" s="2" t="str">
        <f>_xlfn.CONCAT(Table1[Json Schema])</f>
        <v xml:space="preserve">    "catch_fire": {
      "title": "catch fire",
      "type": "false",
      "default": boolean,
      "description": "Determines if the struck object is set on fire."
    },    "definition_event": {
      "title": "definition event",
      "type": "not set",
      "default": event,
      "description": "The event that is triggered on a hit. See the table below for all definition event parameters."
    },    "douse_fire": {
      "title": "douse fire",
      "type": "false",
      "default": boolean,
      "description": "If the target is on fire, then douse hte fire."
    },    "freeze_on_hit": {
      "title": "freeze on hit",
      "type": "not set",
      "default": json object,
      "description": "An area of entities that is frozen to block on hits. Has shape of either sphere or cube, snap_to_block boolean ,and size decimal properties."
    },    "grant_xp": {
      "title": "grant xp",
      "type": "not set",
      "default": json object,
      "description": "Grants XP on hit. Has minXP for minimum XP granted, maxXp for maximum, or simply flat xp properties."
    },    "hurt_owner": {
      "title": "hurt owner",
      "type": "not set",
      "default": json object,
      "description": "Determines if the owner of the entity is hurt on hit. Contains decimal owner_damage, knockback boolean, and ignite boolean."
    },    "ignite": {
      "title": "ignite",
      "type": "false",
      "default": boolean,
      "description": "Determines if a fire may be started on a flammable target."
    },    "impact_damage": {
      "title": "impact damage",
      "type": "not set",
      "default": json object,
      "description": "Defines the damage that an entity may receive on being hit by this projectile. See the table below for all impact_damage parameters."
    },    "mob_effect": {
      "title": "mob effect",
      "type": "not set",
      "default": json object,
      "description": "The target receives a mob effect. See the table below for all mob_effect parameters."
    },    "on_fire_time": {
      "title": "on fire time",
      "type": "0.0",
      "default": float,
      "description": "The amount of time a target will remain on fire."
    },    "particle_on_hit": {
      "title": "particle on hit",
      "type": "not set",
      "default": json object,
      "description": "The particles that spawn on hit. See the table below for all particle_on_hit parameters."
    },    "potion_effect": {
      "title": "potion effect",
      "type": "-1",
      "default": integer,
      "description": "Defines the effect the arrow will apply to the entity it hits."
    },    "remove_on_hit": {
      "title": "remove on hit",
      "type": "not set",
      "default": json object,
      "description": "Removes the projectile."
    },    "spawn_aoe_cloud": {
      "title": "spawn aoe cloud",
      "type": "false",
      "default": boolean,
      "description": "Potion spawns an area of effect cloud. See the table below for all spawn_aoe_cloud parameters."
    },    "spawn_chance": {
      "title": "spawn chance",
      "type": "not set",
      "default": json ojbect,
      "description": "Contains information on the chance of spawning an entity on hit. See parameters below."
    },    "stick_in_ground": {
      "title": "stick in ground",
      "type": "not set",
      "default": object,
      "description": "Decides if the object sticks in ground and contains shake_time integer parameter to determine how long it will shake."
    },    "teleport_owner": {
      "title": "teleport owner",
      "type": "false",
      "default": boolean,
      "description": "Determines if the owner is transported on hit."
    },    "thrown_potion_effect": {
      "title": "thrown potion effect",
      "type": ""thrown_potion_effect" : {}",
      "default": json object,
      "description": "Creates a splash area for effects caused by a thrown potion."
    },</v>
      </c>
    </row>
    <row r="3" spans="1:11" ht="33.75" thickTop="1" x14ac:dyDescent="0.25">
      <c r="A3" s="5" t="s">
        <v>41</v>
      </c>
      <c r="B3" s="6" t="s">
        <v>10</v>
      </c>
      <c r="C3" s="5" t="s">
        <v>42</v>
      </c>
      <c r="D3" s="7" t="s">
        <v>43</v>
      </c>
      <c r="E3" t="str">
        <f>Table1[[#This Row],[Name]]</f>
        <v>definition_event</v>
      </c>
      <c r="F3" t="str">
        <f>SUBSTITUTE(SUBSTITUTE(LOWER(Table1[[#This Row],[Type]]),"decimal", "number"), "list", "array")</f>
        <v>not set</v>
      </c>
      <c r="G3" s="3" t="str">
        <f>IF(Table1[[#This Row],[Ctype]]="string", CHAR(34) &amp; Table1[[#This Row],[Default Value]] &amp; CHAR(34), LOWER(Table1[[#This Row],[Default Value]]))</f>
        <v>event</v>
      </c>
      <c r="H3" t="str">
        <f>SUBSTITUTE(Table1[[#This Row],[Description]], CHAR(34), "\" &amp; CHAR(34))</f>
        <v>The event that is triggered on a hit. See the table below for all definition event parameters.</v>
      </c>
      <c r="I3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"definition_event": {
      "title": "definition event",
      "type": "not set",
      "default": event,
      "description": "The event that is triggered on a hit. See the table below for all definition event parameters."
    },</v>
      </c>
    </row>
    <row r="4" spans="1:11" ht="16.5" x14ac:dyDescent="0.25">
      <c r="A4" s="5" t="s">
        <v>44</v>
      </c>
      <c r="B4" s="5" t="b">
        <v>0</v>
      </c>
      <c r="C4" s="5" t="s">
        <v>39</v>
      </c>
      <c r="D4" s="5" t="s">
        <v>45</v>
      </c>
      <c r="E4" t="str">
        <f>Table1[[#This Row],[Name]]</f>
        <v>douse_fire</v>
      </c>
      <c r="F4" t="str">
        <f>SUBSTITUTE(SUBSTITUTE(LOWER(Table1[[#This Row],[Type]]),"decimal", "number"), "list", "array")</f>
        <v>false</v>
      </c>
      <c r="G4" s="3" t="str">
        <f>IF(Table1[[#This Row],[Ctype]]="string", CHAR(34) &amp; Table1[[#This Row],[Default Value]] &amp; CHAR(34), LOWER(Table1[[#This Row],[Default Value]]))</f>
        <v>boolean</v>
      </c>
      <c r="H4" t="str">
        <f>SUBSTITUTE(Table1[[#This Row],[Description]], CHAR(34), "\" &amp; CHAR(34))</f>
        <v>If the target is on fire, then douse hte fire.</v>
      </c>
      <c r="I4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"douse_fire": {
      "title": "douse fire",
      "type": "false",
      "default": boolean,
      "description": "If the target is on fire, then douse hte fire."
    },</v>
      </c>
    </row>
    <row r="5" spans="1:11" ht="49.5" x14ac:dyDescent="0.25">
      <c r="A5" s="5" t="s">
        <v>46</v>
      </c>
      <c r="B5" s="6" t="s">
        <v>10</v>
      </c>
      <c r="C5" s="5" t="s">
        <v>47</v>
      </c>
      <c r="D5" s="5" t="s">
        <v>48</v>
      </c>
      <c r="E5" t="str">
        <f>Table1[[#This Row],[Name]]</f>
        <v>freeze_on_hit</v>
      </c>
      <c r="F5" t="str">
        <f>SUBSTITUTE(SUBSTITUTE(LOWER(Table1[[#This Row],[Type]]),"decimal", "number"), "list", "array")</f>
        <v>not set</v>
      </c>
      <c r="G5" s="3" t="str">
        <f>IF(Table1[[#This Row],[Ctype]]="string", CHAR(34) &amp; Table1[[#This Row],[Default Value]] &amp; CHAR(34), LOWER(Table1[[#This Row],[Default Value]]))</f>
        <v>json object</v>
      </c>
      <c r="H5" t="str">
        <f>SUBSTITUTE(Table1[[#This Row],[Description]], CHAR(34), "\" &amp; CHAR(34))</f>
        <v>An area of entities that is frozen to block on hits. Has shape of either sphere or cube, snap_to_block boolean ,and size decimal properties.</v>
      </c>
      <c r="I5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"freeze_on_hit": {
      "title": "freeze on hit",
      "type": "not set",
      "default": json object,
      "description": "An area of entities that is frozen to block on hits. Has shape of either sphere or cube, snap_to_block boolean ,and size decimal properties."
    },</v>
      </c>
    </row>
    <row r="6" spans="1:11" ht="33" x14ac:dyDescent="0.25">
      <c r="A6" s="5" t="s">
        <v>49</v>
      </c>
      <c r="B6" s="6" t="s">
        <v>10</v>
      </c>
      <c r="C6" s="5" t="s">
        <v>47</v>
      </c>
      <c r="D6" s="5" t="s">
        <v>50</v>
      </c>
      <c r="E6" t="str">
        <f>Table1[[#This Row],[Name]]</f>
        <v>grant_xp</v>
      </c>
      <c r="F6" t="str">
        <f>SUBSTITUTE(SUBSTITUTE(LOWER(Table1[[#This Row],[Type]]),"decimal", "number"), "list", "array")</f>
        <v>not set</v>
      </c>
      <c r="G6" s="3" t="str">
        <f>IF(Table1[[#This Row],[Ctype]]="string", CHAR(34) &amp; Table1[[#This Row],[Default Value]] &amp; CHAR(34), LOWER(Table1[[#This Row],[Default Value]]))</f>
        <v>json object</v>
      </c>
      <c r="H6" t="str">
        <f>SUBSTITUTE(Table1[[#This Row],[Description]], CHAR(34), "\" &amp; CHAR(34))</f>
        <v>Grants XP on hit. Has minXP for minimum XP granted, maxXp for maximum, or simply flat xp properties.</v>
      </c>
      <c r="I6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"grant_xp": {
      "title": "grant xp",
      "type": "not set",
      "default": json object,
      "description": "Grants XP on hit. Has minXP for minimum XP granted, maxXp for maximum, or simply flat xp properties."
    },</v>
      </c>
    </row>
    <row r="7" spans="1:11" ht="33" x14ac:dyDescent="0.25">
      <c r="A7" s="5" t="s">
        <v>51</v>
      </c>
      <c r="B7" s="6" t="s">
        <v>10</v>
      </c>
      <c r="C7" s="5" t="s">
        <v>47</v>
      </c>
      <c r="D7" s="5" t="s">
        <v>52</v>
      </c>
      <c r="E7" t="str">
        <f>Table1[[#This Row],[Name]]</f>
        <v>hurt_owner</v>
      </c>
      <c r="F7" t="str">
        <f>SUBSTITUTE(SUBSTITUTE(LOWER(Table1[[#This Row],[Type]]),"decimal", "number"), "list", "array")</f>
        <v>not set</v>
      </c>
      <c r="G7" s="3" t="str">
        <f>IF(Table1[[#This Row],[Ctype]]="string", CHAR(34) &amp; Table1[[#This Row],[Default Value]] &amp; CHAR(34), LOWER(Table1[[#This Row],[Default Value]]))</f>
        <v>json object</v>
      </c>
      <c r="H7" t="str">
        <f>SUBSTITUTE(Table1[[#This Row],[Description]], CHAR(34), "\" &amp; CHAR(34))</f>
        <v>Determines if the owner of the entity is hurt on hit. Contains decimal owner_damage, knockback boolean, and ignite boolean.</v>
      </c>
      <c r="I7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"hurt_owner": {
      "title": "hurt owner",
      "type": "not set",
      "default": json object,
      "description": "Determines if the owner of the entity is hurt on hit. Contains decimal owner_damage, knockback boolean, and ignite boolean."
    },</v>
      </c>
    </row>
    <row r="8" spans="1:11" ht="16.5" x14ac:dyDescent="0.25">
      <c r="A8" s="5" t="s">
        <v>53</v>
      </c>
      <c r="B8" s="5" t="b">
        <v>0</v>
      </c>
      <c r="C8" s="5" t="s">
        <v>39</v>
      </c>
      <c r="D8" s="5" t="s">
        <v>54</v>
      </c>
      <c r="E8" t="str">
        <f>Table1[[#This Row],[Name]]</f>
        <v>ignite</v>
      </c>
      <c r="F8" t="str">
        <f>SUBSTITUTE(SUBSTITUTE(LOWER(Table1[[#This Row],[Type]]),"decimal", "number"), "list", "array")</f>
        <v>false</v>
      </c>
      <c r="G8" s="3" t="str">
        <f>IF(Table1[[#This Row],[Ctype]]="string", CHAR(34) &amp; Table1[[#This Row],[Default Value]] &amp; CHAR(34), LOWER(Table1[[#This Row],[Default Value]]))</f>
        <v>boolean</v>
      </c>
      <c r="H8" t="str">
        <f>SUBSTITUTE(Table1[[#This Row],[Description]], CHAR(34), "\" &amp; CHAR(34))</f>
        <v>Determines if a fire may be started on a flammable target.</v>
      </c>
      <c r="I8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"ignite": {
      "title": "ignite",
      "type": "false",
      "default": boolean,
      "description": "Determines if a fire may be started on a flammable target."
    },</v>
      </c>
    </row>
    <row r="9" spans="1:11" ht="33" x14ac:dyDescent="0.25">
      <c r="A9" s="5" t="s">
        <v>55</v>
      </c>
      <c r="B9" s="6" t="s">
        <v>10</v>
      </c>
      <c r="C9" s="5" t="s">
        <v>47</v>
      </c>
      <c r="D9" s="7" t="s">
        <v>56</v>
      </c>
      <c r="E9" t="str">
        <f>Table1[[#This Row],[Name]]</f>
        <v>impact_damage</v>
      </c>
      <c r="F9" t="str">
        <f>SUBSTITUTE(SUBSTITUTE(LOWER(Table1[[#This Row],[Type]]),"decimal", "number"), "list", "array")</f>
        <v>not set</v>
      </c>
      <c r="G9" s="3" t="str">
        <f>IF(Table1[[#This Row],[Ctype]]="string", CHAR(34) &amp; Table1[[#This Row],[Default Value]] &amp; CHAR(34), LOWER(Table1[[#This Row],[Default Value]]))</f>
        <v>json object</v>
      </c>
      <c r="H9" t="str">
        <f>SUBSTITUTE(Table1[[#This Row],[Description]], CHAR(34), "\" &amp; CHAR(34))</f>
        <v>Defines the damage that an entity may receive on being hit by this projectile. See the table below for all impact_damage parameters.</v>
      </c>
      <c r="I9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"impact_damage": {
      "title": "impact damage",
      "type": "not set",
      "default": json object,
      "description": "Defines the damage that an entity may receive on being hit by this projectile. See the table below for all impact_damage parameters."
    },</v>
      </c>
    </row>
    <row r="10" spans="1:11" ht="30" x14ac:dyDescent="0.25">
      <c r="A10" s="5" t="s">
        <v>57</v>
      </c>
      <c r="B10" s="6" t="s">
        <v>10</v>
      </c>
      <c r="C10" s="5" t="s">
        <v>47</v>
      </c>
      <c r="D10" s="7" t="s">
        <v>58</v>
      </c>
      <c r="E10" t="str">
        <f>Table1[[#This Row],[Name]]</f>
        <v>mob_effect</v>
      </c>
      <c r="F10" t="str">
        <f>SUBSTITUTE(SUBSTITUTE(LOWER(Table1[[#This Row],[Type]]),"decimal", "number"), "list", "array")</f>
        <v>not set</v>
      </c>
      <c r="G10" s="3" t="str">
        <f>IF(Table1[[#This Row],[Ctype]]="string", CHAR(34) &amp; Table1[[#This Row],[Default Value]] &amp; CHAR(34), LOWER(Table1[[#This Row],[Default Value]]))</f>
        <v>json object</v>
      </c>
      <c r="H10" t="str">
        <f>SUBSTITUTE(Table1[[#This Row],[Description]], CHAR(34), "\" &amp; CHAR(34))</f>
        <v>The target receives a mob effect. See the table below for all mob_effect parameters.</v>
      </c>
      <c r="I10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"mob_effect": {
      "title": "mob effect",
      "type": "not set",
      "default": json object,
      "description": "The target receives a mob effect. See the table below for all mob_effect parameters."
    },</v>
      </c>
    </row>
    <row r="11" spans="1:11" ht="16.5" x14ac:dyDescent="0.25">
      <c r="A11" s="5" t="s">
        <v>59</v>
      </c>
      <c r="B11" s="5" t="s">
        <v>60</v>
      </c>
      <c r="C11" s="5" t="s">
        <v>61</v>
      </c>
      <c r="D11" s="5" t="s">
        <v>62</v>
      </c>
      <c r="E11" t="str">
        <f>Table1[[#This Row],[Name]]</f>
        <v>on_fire_time</v>
      </c>
      <c r="F11" t="str">
        <f>SUBSTITUTE(SUBSTITUTE(LOWER(Table1[[#This Row],[Type]]),"decimal", "number"), "list", "array")</f>
        <v>0.0</v>
      </c>
      <c r="G11" s="3" t="str">
        <f>IF(Table1[[#This Row],[Ctype]]="string", CHAR(34) &amp; Table1[[#This Row],[Default Value]] &amp; CHAR(34), LOWER(Table1[[#This Row],[Default Value]]))</f>
        <v>float</v>
      </c>
      <c r="H11" t="str">
        <f>SUBSTITUTE(Table1[[#This Row],[Description]], CHAR(34), "\" &amp; CHAR(34))</f>
        <v>The amount of time a target will remain on fire.</v>
      </c>
      <c r="I11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"on_fire_time": {
      "title": "on fire time",
      "type": "0.0",
      "default": float,
      "description": "The amount of time a target will remain on fire."
    },</v>
      </c>
    </row>
    <row r="12" spans="1:11" ht="30" x14ac:dyDescent="0.25">
      <c r="A12" s="5" t="s">
        <v>63</v>
      </c>
      <c r="B12" s="6" t="s">
        <v>10</v>
      </c>
      <c r="C12" s="5" t="s">
        <v>47</v>
      </c>
      <c r="D12" s="7" t="s">
        <v>64</v>
      </c>
      <c r="E12" t="str">
        <f>Table1[[#This Row],[Name]]</f>
        <v>particle_on_hit</v>
      </c>
      <c r="F12" t="str">
        <f>SUBSTITUTE(SUBSTITUTE(LOWER(Table1[[#This Row],[Type]]),"decimal", "number"), "list", "array")</f>
        <v>not set</v>
      </c>
      <c r="G12" s="3" t="str">
        <f>IF(Table1[[#This Row],[Ctype]]="string", CHAR(34) &amp; Table1[[#This Row],[Default Value]] &amp; CHAR(34), LOWER(Table1[[#This Row],[Default Value]]))</f>
        <v>json object</v>
      </c>
      <c r="H12" t="str">
        <f>SUBSTITUTE(Table1[[#This Row],[Description]], CHAR(34), "\" &amp; CHAR(34))</f>
        <v>The particles that spawn on hit. See the table below for all particle_on_hit parameters.</v>
      </c>
      <c r="I12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"particle_on_hit": {
      "title": "particle on hit",
      "type": "not set",
      "default": json object,
      "description": "The particles that spawn on hit. See the table below for all particle_on_hit parameters."
    },</v>
      </c>
    </row>
    <row r="13" spans="1:11" ht="16.5" x14ac:dyDescent="0.25">
      <c r="A13" s="5" t="s">
        <v>65</v>
      </c>
      <c r="B13" s="5">
        <v>-1</v>
      </c>
      <c r="C13" s="5" t="s">
        <v>66</v>
      </c>
      <c r="D13" s="5" t="s">
        <v>67</v>
      </c>
      <c r="E13" t="str">
        <f>Table1[[#This Row],[Name]]</f>
        <v>potion_effect</v>
      </c>
      <c r="F13" t="str">
        <f>SUBSTITUTE(SUBSTITUTE(LOWER(Table1[[#This Row],[Type]]),"decimal", "number"), "list", "array")</f>
        <v>-1</v>
      </c>
      <c r="G13" s="3" t="str">
        <f>IF(Table1[[#This Row],[Ctype]]="string", CHAR(34) &amp; Table1[[#This Row],[Default Value]] &amp; CHAR(34), LOWER(Table1[[#This Row],[Default Value]]))</f>
        <v>integer</v>
      </c>
      <c r="H13" t="str">
        <f>SUBSTITUTE(Table1[[#This Row],[Description]], CHAR(34), "\" &amp; CHAR(34))</f>
        <v>Defines the effect the arrow will apply to the entity it hits.</v>
      </c>
      <c r="I13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"potion_effect": {
      "title": "potion effect",
      "type": "-1",
      "default": integer,
      "description": "Defines the effect the arrow will apply to the entity it hits."
    },</v>
      </c>
    </row>
    <row r="14" spans="1:11" ht="16.5" x14ac:dyDescent="0.25">
      <c r="A14" s="5" t="s">
        <v>68</v>
      </c>
      <c r="B14" s="6" t="s">
        <v>10</v>
      </c>
      <c r="C14" s="5" t="s">
        <v>47</v>
      </c>
      <c r="D14" s="5" t="s">
        <v>69</v>
      </c>
      <c r="E14" t="str">
        <f>Table1[[#This Row],[Name]]</f>
        <v>remove_on_hit</v>
      </c>
      <c r="F14" t="str">
        <f>SUBSTITUTE(SUBSTITUTE(LOWER(Table1[[#This Row],[Type]]),"decimal", "number"), "list", "array")</f>
        <v>not set</v>
      </c>
      <c r="G14" s="3" t="str">
        <f>IF(Table1[[#This Row],[Ctype]]="string", CHAR(34) &amp; Table1[[#This Row],[Default Value]] &amp; CHAR(34), LOWER(Table1[[#This Row],[Default Value]]))</f>
        <v>json object</v>
      </c>
      <c r="H14" t="str">
        <f>SUBSTITUTE(Table1[[#This Row],[Description]], CHAR(34), "\" &amp; CHAR(34))</f>
        <v>Removes the projectile.</v>
      </c>
      <c r="I14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"remove_on_hit": {
      "title": "remove on hit",
      "type": "not set",
      "default": json object,
      "description": "Removes the projectile."
    },</v>
      </c>
    </row>
    <row r="15" spans="1:11" ht="33" x14ac:dyDescent="0.25">
      <c r="A15" s="5" t="s">
        <v>70</v>
      </c>
      <c r="B15" s="5" t="b">
        <v>0</v>
      </c>
      <c r="C15" s="5" t="s">
        <v>39</v>
      </c>
      <c r="D15" s="7" t="s">
        <v>71</v>
      </c>
      <c r="E15" t="str">
        <f>Table1[[#This Row],[Name]]</f>
        <v>spawn_aoe_cloud</v>
      </c>
      <c r="F15" t="str">
        <f>SUBSTITUTE(SUBSTITUTE(LOWER(Table1[[#This Row],[Type]]),"decimal", "number"), "list", "array")</f>
        <v>false</v>
      </c>
      <c r="G15" s="3" t="str">
        <f>IF(Table1[[#This Row],[Ctype]]="string", CHAR(34) &amp; Table1[[#This Row],[Default Value]] &amp; CHAR(34), LOWER(Table1[[#This Row],[Default Value]]))</f>
        <v>boolean</v>
      </c>
      <c r="H15" t="str">
        <f>SUBSTITUTE(Table1[[#This Row],[Description]], CHAR(34), "\" &amp; CHAR(34))</f>
        <v>Potion spawns an area of effect cloud. See the table below for all spawn_aoe_cloud parameters.</v>
      </c>
      <c r="I15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"spawn_aoe_cloud": {
      "title": "spawn aoe cloud",
      "type": "false",
      "default": boolean,
      "description": "Potion spawns an area of effect cloud. See the table below for all spawn_aoe_cloud parameters."
    },</v>
      </c>
    </row>
    <row r="16" spans="1:11" ht="33" x14ac:dyDescent="0.25">
      <c r="A16" s="5" t="s">
        <v>72</v>
      </c>
      <c r="B16" s="6" t="s">
        <v>10</v>
      </c>
      <c r="C16" s="5" t="s">
        <v>73</v>
      </c>
      <c r="D16" s="5" t="s">
        <v>74</v>
      </c>
      <c r="E16" t="str">
        <f>Table1[[#This Row],[Name]]</f>
        <v>spawn_chance</v>
      </c>
      <c r="F16" t="str">
        <f>SUBSTITUTE(SUBSTITUTE(LOWER(Table1[[#This Row],[Type]]),"decimal", "number"), "list", "array")</f>
        <v>not set</v>
      </c>
      <c r="G16" s="3" t="str">
        <f>IF(Table1[[#This Row],[Ctype]]="string", CHAR(34) &amp; Table1[[#This Row],[Default Value]] &amp; CHAR(34), LOWER(Table1[[#This Row],[Default Value]]))</f>
        <v>json ojbect</v>
      </c>
      <c r="H16" t="str">
        <f>SUBSTITUTE(Table1[[#This Row],[Description]], CHAR(34), "\" &amp; CHAR(34))</f>
        <v>Contains information on the chance of spawning an entity on hit. See parameters below.</v>
      </c>
      <c r="I16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"spawn_chance": {
      "title": "spawn chance",
      "type": "not set",
      "default": json ojbect,
      "description": "Contains information on the chance of spawning an entity on hit. See parameters below."
    },</v>
      </c>
    </row>
    <row r="17" spans="1:9" ht="49.5" x14ac:dyDescent="0.25">
      <c r="A17" s="5" t="s">
        <v>75</v>
      </c>
      <c r="B17" s="6" t="s">
        <v>10</v>
      </c>
      <c r="C17" s="5" t="s">
        <v>76</v>
      </c>
      <c r="D17" s="5" t="s">
        <v>77</v>
      </c>
      <c r="E17" t="str">
        <f>Table1[[#This Row],[Name]]</f>
        <v>stick_in_ground</v>
      </c>
      <c r="F17" t="str">
        <f>SUBSTITUTE(SUBSTITUTE(LOWER(Table1[[#This Row],[Type]]),"decimal", "number"), "list", "array")</f>
        <v>not set</v>
      </c>
      <c r="G17" s="3" t="str">
        <f>IF(Table1[[#This Row],[Ctype]]="string", CHAR(34) &amp; Table1[[#This Row],[Default Value]] &amp; CHAR(34), LOWER(Table1[[#This Row],[Default Value]]))</f>
        <v>object</v>
      </c>
      <c r="H17" t="str">
        <f>SUBSTITUTE(Table1[[#This Row],[Description]], CHAR(34), "\" &amp; CHAR(34))</f>
        <v>Decides if the object sticks in ground and contains shake_time integer parameter to determine how long it will shake.</v>
      </c>
      <c r="I17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"stick_in_ground": {
      "title": "stick in ground",
      "type": "not set",
      "default": object,
      "description": "Decides if the object sticks in ground and contains shake_time integer parameter to determine how long it will shake."
    },</v>
      </c>
    </row>
    <row r="18" spans="1:9" ht="16.5" x14ac:dyDescent="0.25">
      <c r="A18" s="5" t="s">
        <v>78</v>
      </c>
      <c r="B18" s="5" t="b">
        <v>0</v>
      </c>
      <c r="C18" s="5" t="s">
        <v>39</v>
      </c>
      <c r="D18" s="5" t="s">
        <v>79</v>
      </c>
      <c r="E18" t="str">
        <f>Table1[[#This Row],[Name]]</f>
        <v>teleport_owner</v>
      </c>
      <c r="F18" t="str">
        <f>SUBSTITUTE(SUBSTITUTE(LOWER(Table1[[#This Row],[Type]]),"decimal", "number"), "list", "array")</f>
        <v>false</v>
      </c>
      <c r="G18" s="3" t="str">
        <f>IF(Table1[[#This Row],[Ctype]]="string", CHAR(34) &amp; Table1[[#This Row],[Default Value]] &amp; CHAR(34), LOWER(Table1[[#This Row],[Default Value]]))</f>
        <v>boolean</v>
      </c>
      <c r="H18" t="str">
        <f>SUBSTITUTE(Table1[[#This Row],[Description]], CHAR(34), "\" &amp; CHAR(34))</f>
        <v>Determines if the owner is transported on hit.</v>
      </c>
      <c r="I18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"teleport_owner": {
      "title": "teleport owner",
      "type": "false",
      "default": boolean,
      "description": "Determines if the owner is transported on hit."
    },</v>
      </c>
    </row>
    <row r="19" spans="1:9" ht="66" x14ac:dyDescent="0.25">
      <c r="A19" s="5" t="s">
        <v>80</v>
      </c>
      <c r="B19" s="5" t="s">
        <v>81</v>
      </c>
      <c r="C19" s="5" t="s">
        <v>47</v>
      </c>
      <c r="D19" s="5" t="s">
        <v>82</v>
      </c>
      <c r="E19" t="str">
        <f>Table1[[#This Row],[Name]]</f>
        <v>thrown_potion_effect</v>
      </c>
      <c r="F19" t="str">
        <f>SUBSTITUTE(SUBSTITUTE(LOWER(Table1[[#This Row],[Type]]),"decimal", "number"), "list", "array")</f>
        <v>"thrown_potion_effect" : {}</v>
      </c>
      <c r="G19" s="3" t="str">
        <f>IF(Table1[[#This Row],[Ctype]]="string", CHAR(34) &amp; Table1[[#This Row],[Default Value]] &amp; CHAR(34), LOWER(Table1[[#This Row],[Default Value]]))</f>
        <v>json object</v>
      </c>
      <c r="H19" t="str">
        <f>SUBSTITUTE(Table1[[#This Row],[Description]], CHAR(34), "\" &amp; CHAR(34))</f>
        <v>Creates a splash area for effects caused by a thrown potion.</v>
      </c>
      <c r="I19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"thrown_potion_effect": {
      "title": "thrown potion effect",
      "type": ""thrown_potion_effect" : {}",
      "default": json object,
      "description": "Creates a splash area for effects caused by a thrown potion."
    },</v>
      </c>
    </row>
  </sheetData>
  <hyperlinks>
    <hyperlink ref="D3" r:id="rId1" location="definition_event-parameters" display="https://docs.microsoft.com/en-us/minecraft/creator/reference/content/entityreference/examples/entitycomponents/minecraftcomponent_projectile - definition_event-parameters" xr:uid="{60E8393C-8B81-4982-9B4E-7D937C5861A8}"/>
    <hyperlink ref="D9" r:id="rId2" location="impact_damage-parameters" display="https://docs.microsoft.com/en-us/minecraft/creator/reference/content/entityreference/examples/entitycomponents/minecraftcomponent_projectile - impact_damage-parameters" xr:uid="{28422BB4-4A9E-4441-A063-0E116B40F91B}"/>
    <hyperlink ref="D10" r:id="rId3" location="mob_effect-parameters" display="https://docs.microsoft.com/en-us/minecraft/creator/reference/content/entityreference/examples/entitycomponents/minecraftcomponent_projectile - mob_effect-parameters" xr:uid="{6CDFB0EC-ECE6-4C22-8AFF-F21D7CD88161}"/>
    <hyperlink ref="D12" r:id="rId4" location="particle_on_hit-parameters" display="https://docs.microsoft.com/en-us/minecraft/creator/reference/content/entityreference/examples/entitycomponents/minecraftcomponent_projectile - particle_on_hit-parameters" xr:uid="{DE708AD7-8658-4710-BC30-BF21CDB4C08D}"/>
    <hyperlink ref="D15" r:id="rId5" location="spawn_aoe_cloud-parameters" display="https://docs.microsoft.com/en-us/minecraft/creator/reference/content/entityreference/examples/entitycomponents/minecraftcomponent_projectile - spawn_aoe_cloud-parameters" xr:uid="{84ECAF57-3B27-4CBC-8548-BFD14D6C86B6}"/>
  </hyperlinks>
  <pageMargins left="0.7" right="0.7" top="0.75" bottom="0.75" header="0.3" footer="0.3"/>
  <pageSetup paperSize="9" orientation="portrait" horizontalDpi="300" verticalDpi="3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able1_Copy_Text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Table1_Delet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8CE3D-5C67-4587-8057-D204525A7E7C}">
  <sheetPr codeName="Sheet4"/>
  <dimension ref="A1:K9"/>
  <sheetViews>
    <sheetView tabSelected="1" workbookViewId="0">
      <selection activeCell="A2" sqref="A2:D9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2</v>
      </c>
      <c r="C1" t="s">
        <v>1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18" thickTop="1" thickBot="1" x14ac:dyDescent="0.3">
      <c r="A2" s="5" t="s">
        <v>86</v>
      </c>
      <c r="B2" s="5" t="b">
        <v>0</v>
      </c>
      <c r="C2" s="5" t="s">
        <v>39</v>
      </c>
      <c r="D2" s="5" t="s">
        <v>87</v>
      </c>
      <c r="E2" t="str">
        <f>Table14[[#This Row],[Name]]</f>
        <v>ambient</v>
      </c>
      <c r="F2" s="3" t="str">
        <f>SUBSTITUTE(SUBSTITUTE(LOWER(Table14[[#This Row],[Type]]),"decimal", "number"), "list", "array")</f>
        <v>boolean</v>
      </c>
      <c r="G2" s="3" t="str">
        <f>IF(Table14[[#This Row],[Ctype]]="string", CHAR(34) &amp; Table14[[#This Row],[Default Value]] &amp; CHAR(34), LOWER(Table14[[#This Row],[Default Value]]))</f>
        <v>false</v>
      </c>
      <c r="H2" t="str">
        <f>SUBSTITUTE(Table14[[#This Row],[Description]], CHAR(34), "\" &amp; CHAR(34))</f>
        <v>If true, a mob will spawn that is not hostile, like the bat entity in Minecraft.</v>
      </c>
      <c r="I2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"ambient": {
      "title": "ambient",
      "type": "boolean",
      "default": false,
      "description": "If true, a mob will spawn that is not hostile, like the bat entity in Minecraft."
    },</v>
      </c>
      <c r="K2" s="2" t="str">
        <f>_xlfn.CONCAT(Table14[Json Schema])</f>
        <v xml:space="preserve">    "ambient": {
      "title": "ambient",
      "type": "boolean",
      "default": false,
      "description": "If true, a mob will spawn that is not hostile, like the bat entity in Minecraft."
    },    "amplifier": {
      "title": "amplifier",
      "type": "integer",
      "default": 1,
      "description": "The multiplier of the amplification of this effect."
    },    "duration": {
      "title": "duration",
      "type": "integer",
      "default": 1,
      "description": "The effect's duration."
    },    "durationeasy": {
      "title": "durationeasy",
      "type": "integer",
      "default": 0,
      "description": "The effect's duration on easy mode."
    },    "durationhard": {
      "title": "durationhard",
      "type": "integer",
      "default": 800,
      "description": "The effect's duration on hard mode."
    },    "durationnormal": {
      "title": "durationnormal",
      "type": "integer",
      "default": 200,
      "description": "The effect's duration on normal mode."
    },    "effect": {
      "title": "effect",
      "type": "string",
      "default": "not set",
      "description": "The identifier of the mob entity to affect."
    },    "visible": {
      "title": "visible",
      "type": "boolean",
      "default": false,
      "description": "Does the entity's look change."
    },</v>
      </c>
    </row>
    <row r="3" spans="1:11" ht="33.75" thickTop="1" x14ac:dyDescent="0.25">
      <c r="A3" s="5" t="s">
        <v>84</v>
      </c>
      <c r="B3" s="5">
        <v>1</v>
      </c>
      <c r="C3" s="5" t="s">
        <v>66</v>
      </c>
      <c r="D3" s="5" t="s">
        <v>85</v>
      </c>
      <c r="E3" t="str">
        <f>Table14[[#This Row],[Name]]</f>
        <v>amplifier</v>
      </c>
      <c r="F3" s="3" t="str">
        <f>SUBSTITUTE(SUBSTITUTE(LOWER(Table14[[#This Row],[Type]]),"decimal", "number"), "list", "array")</f>
        <v>integer</v>
      </c>
      <c r="G3" s="3" t="str">
        <f>IF(Table14[[#This Row],[Ctype]]="string", CHAR(34) &amp; Table14[[#This Row],[Default Value]] &amp; CHAR(34), LOWER(Table14[[#This Row],[Default Value]]))</f>
        <v>1</v>
      </c>
      <c r="H3" t="str">
        <f>SUBSTITUTE(Table14[[#This Row],[Description]], CHAR(34), "\" &amp; CHAR(34))</f>
        <v>The multiplier of the amplification of this effect.</v>
      </c>
      <c r="I3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"amplifier": {
      "title": "amplifier",
      "type": "integer",
      "default": 1,
      "description": "The multiplier of the amplification of this effect."
    },</v>
      </c>
    </row>
    <row r="4" spans="1:11" ht="16.5" x14ac:dyDescent="0.25">
      <c r="A4" s="5" t="s">
        <v>83</v>
      </c>
      <c r="B4" s="5">
        <v>1</v>
      </c>
      <c r="C4" s="5" t="s">
        <v>66</v>
      </c>
      <c r="D4" s="5" t="s">
        <v>88</v>
      </c>
      <c r="E4" t="str">
        <f>Table14[[#This Row],[Name]]</f>
        <v>duration</v>
      </c>
      <c r="F4" s="3" t="str">
        <f>SUBSTITUTE(SUBSTITUTE(LOWER(Table14[[#This Row],[Type]]),"decimal", "number"), "list", "array")</f>
        <v>integer</v>
      </c>
      <c r="G4" s="3" t="str">
        <f>IF(Table14[[#This Row],[Ctype]]="string", CHAR(34) &amp; Table14[[#This Row],[Default Value]] &amp; CHAR(34), LOWER(Table14[[#This Row],[Default Value]]))</f>
        <v>1</v>
      </c>
      <c r="H4" t="str">
        <f>SUBSTITUTE(Table14[[#This Row],[Description]], CHAR(34), "\" &amp; CHAR(34))</f>
        <v>The effect's duration.</v>
      </c>
      <c r="I4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"duration": {
      "title": "duration",
      "type": "integer",
      "default": 1,
      "description": "The effect's duration."
    },</v>
      </c>
    </row>
    <row r="5" spans="1:11" ht="16.5" x14ac:dyDescent="0.25">
      <c r="A5" s="5" t="s">
        <v>89</v>
      </c>
      <c r="B5" s="5">
        <v>0</v>
      </c>
      <c r="C5" s="5" t="s">
        <v>66</v>
      </c>
      <c r="D5" s="5" t="s">
        <v>90</v>
      </c>
      <c r="E5" t="str">
        <f>Table14[[#This Row],[Name]]</f>
        <v>durationeasy</v>
      </c>
      <c r="F5" s="3" t="str">
        <f>SUBSTITUTE(SUBSTITUTE(LOWER(Table14[[#This Row],[Type]]),"decimal", "number"), "list", "array")</f>
        <v>integer</v>
      </c>
      <c r="G5" s="3" t="str">
        <f>IF(Table14[[#This Row],[Ctype]]="string", CHAR(34) &amp; Table14[[#This Row],[Default Value]] &amp; CHAR(34), LOWER(Table14[[#This Row],[Default Value]]))</f>
        <v>0</v>
      </c>
      <c r="H5" t="str">
        <f>SUBSTITUTE(Table14[[#This Row],[Description]], CHAR(34), "\" &amp; CHAR(34))</f>
        <v>The effect's duration on easy mode.</v>
      </c>
      <c r="I5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"durationeasy": {
      "title": "durationeasy",
      "type": "integer",
      "default": 0,
      "description": "The effect's duration on easy mode."
    },</v>
      </c>
    </row>
    <row r="6" spans="1:11" ht="16.5" x14ac:dyDescent="0.25">
      <c r="A6" s="5" t="s">
        <v>91</v>
      </c>
      <c r="B6" s="5">
        <v>800</v>
      </c>
      <c r="C6" s="5" t="s">
        <v>66</v>
      </c>
      <c r="D6" s="5" t="s">
        <v>92</v>
      </c>
      <c r="E6" t="str">
        <f>Table14[[#This Row],[Name]]</f>
        <v>durationhard</v>
      </c>
      <c r="F6" s="3" t="str">
        <f>SUBSTITUTE(SUBSTITUTE(LOWER(Table14[[#This Row],[Type]]),"decimal", "number"), "list", "array")</f>
        <v>integer</v>
      </c>
      <c r="G6" s="3" t="str">
        <f>IF(Table14[[#This Row],[Ctype]]="string", CHAR(34) &amp; Table14[[#This Row],[Default Value]] &amp; CHAR(34), LOWER(Table14[[#This Row],[Default Value]]))</f>
        <v>800</v>
      </c>
      <c r="H6" t="str">
        <f>SUBSTITUTE(Table14[[#This Row],[Description]], CHAR(34), "\" &amp; CHAR(34))</f>
        <v>The effect's duration on hard mode.</v>
      </c>
      <c r="I6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"durationhard": {
      "title": "durationhard",
      "type": "integer",
      "default": 800,
      "description": "The effect's duration on hard mode."
    },</v>
      </c>
    </row>
    <row r="7" spans="1:11" ht="16.5" x14ac:dyDescent="0.25">
      <c r="A7" s="5" t="s">
        <v>93</v>
      </c>
      <c r="B7" s="5">
        <v>200</v>
      </c>
      <c r="C7" s="5" t="s">
        <v>66</v>
      </c>
      <c r="D7" s="5" t="s">
        <v>94</v>
      </c>
      <c r="E7" t="str">
        <f>Table14[[#This Row],[Name]]</f>
        <v>durationnormal</v>
      </c>
      <c r="F7" s="3" t="str">
        <f>SUBSTITUTE(SUBSTITUTE(LOWER(Table14[[#This Row],[Type]]),"decimal", "number"), "list", "array")</f>
        <v>integer</v>
      </c>
      <c r="G7" s="3" t="str">
        <f>IF(Table14[[#This Row],[Ctype]]="string", CHAR(34) &amp; Table14[[#This Row],[Default Value]] &amp; CHAR(34), LOWER(Table14[[#This Row],[Default Value]]))</f>
        <v>200</v>
      </c>
      <c r="H7" t="str">
        <f>SUBSTITUTE(Table14[[#This Row],[Description]], CHAR(34), "\" &amp; CHAR(34))</f>
        <v>The effect's duration on normal mode.</v>
      </c>
      <c r="I7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"durationnormal": {
      "title": "durationnormal",
      "type": "integer",
      "default": 200,
      "description": "The effect's duration on normal mode."
    },</v>
      </c>
    </row>
    <row r="8" spans="1:11" ht="16.5" x14ac:dyDescent="0.25">
      <c r="A8" s="5" t="s">
        <v>95</v>
      </c>
      <c r="B8" s="6" t="s">
        <v>10</v>
      </c>
      <c r="C8" s="5" t="s">
        <v>11</v>
      </c>
      <c r="D8" s="5" t="s">
        <v>96</v>
      </c>
      <c r="E8" t="str">
        <f>Table14[[#This Row],[Name]]</f>
        <v>effect</v>
      </c>
      <c r="F8" s="3" t="str">
        <f>SUBSTITUTE(SUBSTITUTE(LOWER(Table14[[#This Row],[Type]]),"decimal", "number"), "list", "array")</f>
        <v>string</v>
      </c>
      <c r="G8" s="3" t="str">
        <f>IF(Table14[[#This Row],[Ctype]]="string", CHAR(34) &amp; Table14[[#This Row],[Default Value]] &amp; CHAR(34), LOWER(Table14[[#This Row],[Default Value]]))</f>
        <v>"not set"</v>
      </c>
      <c r="H8" t="str">
        <f>SUBSTITUTE(Table14[[#This Row],[Description]], CHAR(34), "\" &amp; CHAR(34))</f>
        <v>The identifier of the mob entity to affect.</v>
      </c>
      <c r="I8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"effect": {
      "title": "effect",
      "type": "string",
      "default": "not set",
      "description": "The identifier of the mob entity to affect."
    },</v>
      </c>
    </row>
    <row r="9" spans="1:11" ht="16.5" x14ac:dyDescent="0.25">
      <c r="A9" s="5" t="s">
        <v>97</v>
      </c>
      <c r="B9" s="5" t="b">
        <v>0</v>
      </c>
      <c r="C9" s="5" t="s">
        <v>39</v>
      </c>
      <c r="D9" s="5" t="s">
        <v>98</v>
      </c>
      <c r="E9" t="str">
        <f>Table14[[#This Row],[Name]]</f>
        <v>visible</v>
      </c>
      <c r="F9" s="3" t="str">
        <f>SUBSTITUTE(SUBSTITUTE(LOWER(Table14[[#This Row],[Type]]),"decimal", "number"), "list", "array")</f>
        <v>boolean</v>
      </c>
      <c r="G9" s="3" t="str">
        <f>IF(Table14[[#This Row],[Ctype]]="string", CHAR(34) &amp; Table14[[#This Row],[Default Value]] &amp; CHAR(34), LOWER(Table14[[#This Row],[Default Value]]))</f>
        <v>false</v>
      </c>
      <c r="H9" t="str">
        <f>SUBSTITUTE(Table14[[#This Row],[Description]], CHAR(34), "\" &amp; CHAR(34))</f>
        <v>Does the entity's look change.</v>
      </c>
      <c r="I9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"visible": {
      "title": "visible",
      "type": "boolean",
      "default": false,
      "description": "Does the entity's look change."
    },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able14_Copy_Text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able14_Delet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C5E5-17BC-4A3C-B91C-5C00D91EAD6F}">
  <sheetPr codeName="Sheet2"/>
  <dimension ref="A1"/>
  <sheetViews>
    <sheetView workbookViewId="0">
      <selection activeCell="C23" sqref="C23"/>
    </sheetView>
  </sheetViews>
  <sheetFormatPr defaultRowHeight="15" x14ac:dyDescent="0.25"/>
  <cols>
    <col min="1" max="1" width="32.42578125" bestFit="1" customWidth="1"/>
  </cols>
  <sheetData>
    <row r="1" spans="1:1" ht="90" x14ac:dyDescent="0.25">
      <c r="A1" s="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Item</vt:lpstr>
      <vt:lpstr>Sheet1</vt:lpstr>
      <vt:lpstr>Sheet2</vt:lpstr>
      <vt:lpstr>Data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daan verstraten</dc:creator>
  <cp:lastModifiedBy>Daan Verstraten</cp:lastModifiedBy>
  <dcterms:created xsi:type="dcterms:W3CDTF">2020-05-16T22:51:28Z</dcterms:created>
  <dcterms:modified xsi:type="dcterms:W3CDTF">2022-07-13T18:49:20Z</dcterms:modified>
</cp:coreProperties>
</file>