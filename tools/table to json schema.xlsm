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Software\bc-dev\VSCode-Bedrock-Development-Extension\minecraft-bedrock-schemas\tools\"/>
    </mc:Choice>
  </mc:AlternateContent>
  <xr:revisionPtr revIDLastSave="0" documentId="13_ncr:1_{E86F0C3A-B066-4069-9F7F-55365F356F11}" xr6:coauthVersionLast="47" xr6:coauthVersionMax="47" xr10:uidLastSave="{00000000-0000-0000-0000-000000000000}"/>
  <bookViews>
    <workbookView xWindow="-120" yWindow="-120" windowWidth="38640" windowHeight="21120" activeTab="1" xr2:uid="{03531832-3421-4F1A-B28C-9978E920E8BE}"/>
  </bookViews>
  <sheets>
    <sheet name="Item" sheetId="3" r:id="rId1"/>
    <sheet name="Sheet1" sheetId="1" r:id="rId2"/>
    <sheet name="Sheet2" sheetId="5" r:id="rId3"/>
    <sheet name="Data" sheetId="2" r:id="rId4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F2" i="1"/>
  <c r="F3" i="1"/>
  <c r="F4" i="1"/>
  <c r="G4" i="1" s="1"/>
  <c r="I4" i="1" s="1"/>
  <c r="G2" i="1"/>
  <c r="I2" i="1" s="1"/>
  <c r="H2" i="1"/>
  <c r="H3" i="1"/>
  <c r="H4" i="1"/>
  <c r="E2" i="5"/>
  <c r="E3" i="5"/>
  <c r="E4" i="5"/>
  <c r="F2" i="5"/>
  <c r="F3" i="5"/>
  <c r="F4" i="5"/>
  <c r="G4" i="5" s="1"/>
  <c r="I4" i="5" s="1"/>
  <c r="G2" i="5"/>
  <c r="G3" i="5"/>
  <c r="H2" i="5"/>
  <c r="H3" i="5"/>
  <c r="H4" i="5"/>
  <c r="I2" i="5"/>
  <c r="I3" i="5"/>
  <c r="E3" i="3"/>
  <c r="E4" i="3"/>
  <c r="E5" i="3"/>
  <c r="E6" i="3"/>
  <c r="E7" i="3"/>
  <c r="E8" i="3"/>
  <c r="E9" i="3"/>
  <c r="E10" i="3"/>
  <c r="F10" i="3" s="1"/>
  <c r="F3" i="3"/>
  <c r="F4" i="3"/>
  <c r="F5" i="3"/>
  <c r="F6" i="3"/>
  <c r="F7" i="3"/>
  <c r="F8" i="3"/>
  <c r="F9" i="3"/>
  <c r="G3" i="3"/>
  <c r="G4" i="3"/>
  <c r="G5" i="3"/>
  <c r="G6" i="3"/>
  <c r="G7" i="3"/>
  <c r="G8" i="3"/>
  <c r="G9" i="3"/>
  <c r="G10" i="3"/>
  <c r="H3" i="3"/>
  <c r="H4" i="3"/>
  <c r="H5" i="3"/>
  <c r="H6" i="3"/>
  <c r="H7" i="3"/>
  <c r="H8" i="3"/>
  <c r="H9" i="3"/>
  <c r="H10" i="3"/>
  <c r="I3" i="1" l="1"/>
  <c r="G3" i="1"/>
  <c r="E2" i="3"/>
  <c r="F2" i="3" s="1"/>
  <c r="G2" i="3"/>
  <c r="K2" i="5" l="1"/>
  <c r="H2" i="3"/>
  <c r="J2" i="3" s="1"/>
  <c r="K2" i="1"/>
</calcChain>
</file>

<file path=xl/sharedStrings.xml><?xml version="1.0" encoding="utf-8"?>
<sst xmlns="http://schemas.openxmlformats.org/spreadsheetml/2006/main" count="80" uniqueCount="43">
  <si>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</si>
  <si>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</si>
  <si>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</si>
  <si>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</si>
  <si>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</si>
  <si>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</si>
  <si>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</si>
  <si>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</si>
  <si>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</si>
  <si>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>Decimal</t>
  </si>
  <si>
    <t>attack</t>
  </si>
  <si>
    <t>0.3</t>
  </si>
  <si>
    <t>Amount of exhaustion applied when attacking.</t>
  </si>
  <si>
    <t>damage</t>
  </si>
  <si>
    <t>0.1</t>
  </si>
  <si>
    <t>Amount of exhaustion applied when taking damage.</t>
  </si>
  <si>
    <t>heal</t>
  </si>
  <si>
    <t>Amount of exhaustion applied when healed through food regeneration.</t>
  </si>
  <si>
    <t>jump</t>
  </si>
  <si>
    <t>0.2</t>
  </si>
  <si>
    <t>Amount of exhaustion applied when jumping.</t>
  </si>
  <si>
    <t>mine</t>
  </si>
  <si>
    <t>0.025</t>
  </si>
  <si>
    <t>Amount of exhaustion applied when mining.</t>
  </si>
  <si>
    <t>sprint</t>
  </si>
  <si>
    <t>0.01</t>
  </si>
  <si>
    <t>Amount of exhaustion applied when sprinting.</t>
  </si>
  <si>
    <t>sprint_jump</t>
  </si>
  <si>
    <t>0.8</t>
  </si>
  <si>
    <t>Amount of exhaustion applied when sprint jumping.</t>
  </si>
  <si>
    <t>swim</t>
  </si>
  <si>
    <t>0.015</t>
  </si>
  <si>
    <t>Amount of exhaustion applied when swimming.</t>
  </si>
  <si>
    <t>walk</t>
  </si>
  <si>
    <t>Amount of exhaustion applied when walking.</t>
  </si>
  <si>
    <t xml:space="preserve">    "$NAME$": {
      "title": "$TITLE$",
      "type": "$TYPE$",
      "default": $VALUE$,
      "description": "$DESCRIPTION$"
    },</t>
  </si>
  <si>
    <t>Boolean</t>
  </si>
  <si>
    <t>emit_flap</t>
  </si>
  <si>
    <t>If true, the `flap` game event will be emitted when the entity moves through air.</t>
  </si>
  <si>
    <t>emit_move</t>
  </si>
  <si>
    <t>If true, the `entityMove` game event will be emitted when the entity moves on ground or through a solid.</t>
  </si>
  <si>
    <t>emit_swim</t>
  </si>
  <si>
    <t>If true, the `swim` game event will be emitted when the entity moves through a liquid.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</si>
</sst>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2" xfId="0" applyFont="1" applyBorder="1" applyAlignment="1">
      <alignment vertical="center" wrapText="1"/>
    </xf>
    <xf numFmtId="0" fontId="0" fillId="0" borderId="0" xfId="0" applyNumberFormat="1"/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10" totalsRowShown="0">
  <autoFilter ref="A1:H10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/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6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5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4" totalsRowShown="0">
  <autoFilter ref="A1:I4" xr:uid="{439841C6-9CB3-4077-BD6A-80332BFA4FFA}"/>
  <sortState xmlns:xlrd2="http://schemas.microsoft.com/office/spreadsheetml/2017/richdata2" ref="A2:I4">
    <sortCondition ref="A1:A4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4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3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4AF616-376F-47F0-AD2D-2C11C0D4B756}" name="Table14" displayName="Table14" ref="A1:I4" totalsRowShown="0">
  <autoFilter ref="A1:I4" xr:uid="{439841C6-9CB3-4077-BD6A-80332BFA4FFA}"/>
  <sortState xmlns:xlrd2="http://schemas.microsoft.com/office/spreadsheetml/2017/richdata2" ref="A2:I4">
    <sortCondition ref="A1:A19"/>
  </sortState>
  <tableColumns count="9">
    <tableColumn id="1" xr3:uid="{44A08CF4-8AEF-46C8-8501-5F2D1EB72A8E}" name="Name"/>
    <tableColumn id="2" xr3:uid="{6393EEBD-8CD4-4990-BA87-C270575B6882}" name="Default Value"/>
    <tableColumn id="3" xr3:uid="{6EED793A-2AA3-47E0-89BE-95855BB90671}" name="Type"/>
    <tableColumn id="4" xr3:uid="{3D93FF74-FF63-4DF7-9805-8DE93A92BF74}" name="Description"/>
    <tableColumn id="8" xr3:uid="{FAB00FDC-BE26-4D71-8038-D2FBEFFEF504}" name="Cname">
      <calculatedColumnFormula>Table14[[#This Row],[Name]]</calculatedColumnFormula>
    </tableColumn>
    <tableColumn id="7" xr3:uid="{7DB1CA88-F1ED-42F3-AE40-05FC1B746E52}" name="Ctype" dataDxfId="2">
      <calculatedColumnFormula>SUBSTITUTE(SUBSTITUTE(LOWER(Table14[[#This Row],[Type]]),"decimal", "number"), "list", "array")</calculatedColumnFormula>
    </tableColumn>
    <tableColumn id="9" xr3:uid="{904BCF27-C51A-47B7-B375-FF536F5BDAF2}" name="Cdefault" dataDxfId="1">
      <calculatedColumnFormula>IF(Table14[[#This Row],[Ctype]]="string", CHAR(34) &amp; Table14[[#This Row],[Default Value]] &amp; CHAR(34), LOWER(Table14[[#This Row],[Default Value]]))</calculatedColumnFormula>
    </tableColumn>
    <tableColumn id="6" xr3:uid="{DB7176BC-4592-4253-B8F9-38D43BA3D906}" name="Cdescription">
      <calculatedColumnFormula>SUBSTITUTE(Table14[[#This Row],[Description]], CHAR(34), "\" &amp; CHAR(34))</calculatedColumnFormula>
    </tableColumn>
    <tableColumn id="5" xr3:uid="{D37B5709-20AC-4724-AAFB-21732044F4BB}" name="Json Schema" dataDxfId="0">
      <calculatedColumnFormula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11"/>
  <sheetViews>
    <sheetView workbookViewId="0">
      <selection activeCell="M3" sqref="M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3" t="s">
        <v>10</v>
      </c>
      <c r="B2" s="3" t="s">
        <v>9</v>
      </c>
      <c r="C2" s="3" t="s">
        <v>11</v>
      </c>
      <c r="D2" s="3" t="s">
        <v>12</v>
      </c>
      <c r="E2" t="str">
        <f>SUBSTITUTE(SUBSTITUTE(LOWER(Table13[[#This Row],[Type]]),"decimal", "number"), "list", "array")</f>
        <v>number</v>
      </c>
      <c r="F2" t="e">
        <f>IF(Table13[[#This Row],[Ctype]]="string", CHAR(34) &amp;#REF! &amp; CHAR(34), LOWER(#REF!))</f>
        <v>#REF!</v>
      </c>
      <c r="G2" t="str">
        <f>SUBSTITUTE(Table13[[#This Row],[Description]], CHAR(34), "\" &amp; CHAR(34))</f>
        <v>0.3</v>
      </c>
      <c r="H2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attacking.": {
      "title": "attack",
      "type": "number",
      "default": ,
      "description": "0.3"
    },</v>
      </c>
      <c r="J2" s="2" t="str">
        <f>_xlfn.CONCAT(Table13[Json Schema])</f>
        <v xml:space="preserve">    "Amount of exhaustion applied when attacking.": {
      "title": "attack",
      "type": "number",
      "default": ,
      "description": "0.3"
    },    "Amount of exhaustion applied when taking damage.": {
      "title": "damage",
      "type": "number",
      "default": ,
      "description": "0.1"
    },    "Amount of exhaustion applied when healed through food regeneration.": {
      "title": "heal",
      "type": "number",
      "default": ,
      "description": "3"
    },    "Amount of exhaustion applied when jumping.": {
      "title": "jump",
      "type": "number",
      "default": ,
      "description": "0.2"
    },    "Amount of exhaustion applied when mining.": {
      "title": "mine",
      "type": "number",
      "default": ,
      "description": "0.025"
    },    "Amount of exhaustion applied when sprinting.": {
      "title": "sprint",
      "type": "number",
      "default": ,
      "description": "0.01"
    },    "Amount of exhaustion applied when sprint jumping.": {
      "title": "sprint jump",
      "type": "number",
      "default": ,
      "description": "0.8"
    },    "Amount of exhaustion applied when swimming.": {
      "title": "swim",
      "type": "number",
      "default": ,
      "description": "0.015"
    },    "Amount of exhaustion applied when walking.": {
      "title": "walk",
      "type": "number",
      "default": ,
      "description": "0.01"
    },</v>
      </c>
    </row>
    <row r="3" spans="1:10" ht="61.5" thickTop="1" thickBot="1" x14ac:dyDescent="0.3">
      <c r="A3" s="3" t="s">
        <v>13</v>
      </c>
      <c r="B3" s="3" t="s">
        <v>9</v>
      </c>
      <c r="C3" s="3" t="s">
        <v>14</v>
      </c>
      <c r="D3" s="3" t="s">
        <v>15</v>
      </c>
      <c r="E3" t="str">
        <f>SUBSTITUTE(SUBSTITUTE(LOWER(Table13[[#This Row],[Type]]),"decimal", "number"), "list", "array")</f>
        <v>number</v>
      </c>
      <c r="F3" t="e">
        <f>IF(Table13[[#This Row],[Ctype]]="string", CHAR(34) &amp;#REF! &amp; CHAR(34), LOWER(#REF!))</f>
        <v>#REF!</v>
      </c>
      <c r="G3" t="str">
        <f>SUBSTITUTE(Table13[[#This Row],[Description]], CHAR(34), "\" &amp; CHAR(34))</f>
        <v>0.1</v>
      </c>
      <c r="H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taking damage.": {
      "title": "damage",
      "type": "number",
      "default": ,
      "description": "0.1"
    },</v>
      </c>
    </row>
    <row r="4" spans="1:10" ht="76.5" thickTop="1" thickBot="1" x14ac:dyDescent="0.3">
      <c r="A4" s="3" t="s">
        <v>16</v>
      </c>
      <c r="B4" s="3" t="s">
        <v>9</v>
      </c>
      <c r="C4" s="3">
        <v>3</v>
      </c>
      <c r="D4" s="3" t="s">
        <v>17</v>
      </c>
      <c r="E4" t="str">
        <f>SUBSTITUTE(SUBSTITUTE(LOWER(Table13[[#This Row],[Type]]),"decimal", "number"), "list", "array")</f>
        <v>number</v>
      </c>
      <c r="F4" t="e">
        <f>IF(Table13[[#This Row],[Ctype]]="string", CHAR(34) &amp;#REF! &amp; CHAR(34), LOWER(#REF!))</f>
        <v>#REF!</v>
      </c>
      <c r="G4" t="str">
        <f>SUBSTITUTE(Table13[[#This Row],[Description]], CHAR(34), "\" &amp; CHAR(34))</f>
        <v>3</v>
      </c>
      <c r="H4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healed through food regeneration.": {
      "title": "heal",
      "type": "number",
      "default": ,
      "description": "3"
    },</v>
      </c>
    </row>
    <row r="5" spans="1:10" ht="46.5" thickTop="1" thickBot="1" x14ac:dyDescent="0.3">
      <c r="A5" s="3" t="s">
        <v>18</v>
      </c>
      <c r="B5" s="3" t="s">
        <v>9</v>
      </c>
      <c r="C5" s="3" t="s">
        <v>19</v>
      </c>
      <c r="D5" s="3" t="s">
        <v>20</v>
      </c>
      <c r="E5" t="str">
        <f>SUBSTITUTE(SUBSTITUTE(LOWER(Table13[[#This Row],[Type]]),"decimal", "number"), "list", "array")</f>
        <v>number</v>
      </c>
      <c r="F5" t="e">
        <f>IF(Table13[[#This Row],[Ctype]]="string", CHAR(34) &amp;#REF! &amp; CHAR(34), LOWER(#REF!))</f>
        <v>#REF!</v>
      </c>
      <c r="G5" t="str">
        <f>SUBSTITUTE(Table13[[#This Row],[Description]], CHAR(34), "\" &amp; CHAR(34))</f>
        <v>0.2</v>
      </c>
      <c r="H5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jumping.": {
      "title": "jump",
      "type": "number",
      "default": ,
      "description": "0.2"
    },</v>
      </c>
    </row>
    <row r="6" spans="1:10" ht="46.5" thickTop="1" thickBot="1" x14ac:dyDescent="0.3">
      <c r="A6" s="3" t="s">
        <v>21</v>
      </c>
      <c r="B6" s="3" t="s">
        <v>9</v>
      </c>
      <c r="C6" s="3" t="s">
        <v>22</v>
      </c>
      <c r="D6" s="3" t="s">
        <v>23</v>
      </c>
      <c r="E6" t="str">
        <f>SUBSTITUTE(SUBSTITUTE(LOWER(Table13[[#This Row],[Type]]),"decimal", "number"), "list", "array")</f>
        <v>number</v>
      </c>
      <c r="F6" t="e">
        <f>IF(Table13[[#This Row],[Ctype]]="string", CHAR(34) &amp;#REF! &amp; CHAR(34), LOWER(#REF!))</f>
        <v>#REF!</v>
      </c>
      <c r="G6" t="str">
        <f>SUBSTITUTE(Table13[[#This Row],[Description]], CHAR(34), "\" &amp; CHAR(34))</f>
        <v>0.025</v>
      </c>
      <c r="H6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mining.": {
      "title": "mine",
      "type": "number",
      "default": ,
      "description": "0.025"
    },</v>
      </c>
    </row>
    <row r="7" spans="1:10" ht="46.5" thickTop="1" thickBot="1" x14ac:dyDescent="0.3">
      <c r="A7" s="3" t="s">
        <v>24</v>
      </c>
      <c r="B7" s="3" t="s">
        <v>9</v>
      </c>
      <c r="C7" s="3" t="s">
        <v>25</v>
      </c>
      <c r="D7" s="3" t="s">
        <v>26</v>
      </c>
      <c r="E7" t="str">
        <f>SUBSTITUTE(SUBSTITUTE(LOWER(Table13[[#This Row],[Type]]),"decimal", "number"), "list", "array")</f>
        <v>number</v>
      </c>
      <c r="F7" t="e">
        <f>IF(Table13[[#This Row],[Ctype]]="string", CHAR(34) &amp;#REF! &amp; CHAR(34), LOWER(#REF!))</f>
        <v>#REF!</v>
      </c>
      <c r="G7" t="str">
        <f>SUBSTITUTE(Table13[[#This Row],[Description]], CHAR(34), "\" &amp; CHAR(34))</f>
        <v>0.01</v>
      </c>
      <c r="H7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sprinting.": {
      "title": "sprint",
      "type": "number",
      "default": ,
      "description": "0.01"
    },</v>
      </c>
    </row>
    <row r="8" spans="1:10" ht="61.5" thickTop="1" thickBot="1" x14ac:dyDescent="0.3">
      <c r="A8" s="3" t="s">
        <v>27</v>
      </c>
      <c r="B8" s="3" t="s">
        <v>9</v>
      </c>
      <c r="C8" s="3" t="s">
        <v>28</v>
      </c>
      <c r="D8" s="3" t="s">
        <v>29</v>
      </c>
      <c r="E8" t="str">
        <f>SUBSTITUTE(SUBSTITUTE(LOWER(Table13[[#This Row],[Type]]),"decimal", "number"), "list", "array")</f>
        <v>number</v>
      </c>
      <c r="F8" t="e">
        <f>IF(Table13[[#This Row],[Ctype]]="string", CHAR(34) &amp;#REF! &amp; CHAR(34), LOWER(#REF!))</f>
        <v>#REF!</v>
      </c>
      <c r="G8" t="str">
        <f>SUBSTITUTE(Table13[[#This Row],[Description]], CHAR(34), "\" &amp; CHAR(34))</f>
        <v>0.8</v>
      </c>
      <c r="H8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 jumping.": {
      "title": "sprint jump",
      "type": "number",
      "default": ,
      "description": "0.8"
    },</v>
      </c>
    </row>
    <row r="9" spans="1:10" ht="46.5" thickTop="1" thickBot="1" x14ac:dyDescent="0.3">
      <c r="A9" s="3" t="s">
        <v>30</v>
      </c>
      <c r="B9" s="3" t="s">
        <v>9</v>
      </c>
      <c r="C9" s="3" t="s">
        <v>31</v>
      </c>
      <c r="D9" s="3" t="s">
        <v>32</v>
      </c>
      <c r="E9" t="str">
        <f>SUBSTITUTE(SUBSTITUTE(LOWER(Table13[[#This Row],[Type]]),"decimal", "number"), "list", "array")</f>
        <v>number</v>
      </c>
      <c r="F9" t="e">
        <f>IF(Table13[[#This Row],[Ctype]]="string", CHAR(34) &amp;#REF! &amp; CHAR(34), LOWER(#REF!))</f>
        <v>#REF!</v>
      </c>
      <c r="G9" t="str">
        <f>SUBSTITUTE(Table13[[#This Row],[Description]], CHAR(34), "\" &amp; CHAR(34))</f>
        <v>0.015</v>
      </c>
      <c r="H9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swimming.": {
      "title": "swim",
      "type": "number",
      "default": ,
      "description": "0.015"
    },</v>
      </c>
    </row>
    <row r="10" spans="1:10" ht="46.5" thickTop="1" thickBot="1" x14ac:dyDescent="0.3">
      <c r="A10" s="3" t="s">
        <v>33</v>
      </c>
      <c r="B10" s="3" t="s">
        <v>9</v>
      </c>
      <c r="C10" s="3" t="s">
        <v>25</v>
      </c>
      <c r="D10" s="3" t="s">
        <v>34</v>
      </c>
      <c r="E10" t="str">
        <f>SUBSTITUTE(SUBSTITUTE(LOWER(Table13[[#This Row],[Type]]),"decimal", "number"), "list", "array")</f>
        <v>number</v>
      </c>
      <c r="F10" t="e">
        <f>IF(Table13[[#This Row],[Ctype]]="string", CHAR(34) &amp;#REF! &amp; CHAR(34), LOWER(#REF!))</f>
        <v>#REF!</v>
      </c>
      <c r="G10" t="str">
        <f>SUBSTITUTE(Table13[[#This Row],[Description]], CHAR(34), "\" &amp; CHAR(34))</f>
        <v>0.01</v>
      </c>
      <c r="H10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walking.": {
      "title": "walk",
      "type": "number",
      "default": ,
      "description": "0.01"
    },</v>
      </c>
    </row>
    <row r="11" spans="1:10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5"/>
  <sheetViews>
    <sheetView tabSelected="1" workbookViewId="0">
      <selection activeCell="S24" sqref="S24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3" t="s">
        <v>37</v>
      </c>
      <c r="B2" s="3" t="s">
        <v>36</v>
      </c>
      <c r="C2" s="3" t="b">
        <v>0</v>
      </c>
      <c r="D2" s="3" t="s">
        <v>38</v>
      </c>
      <c r="E2" t="str">
        <f>Table1[[#This Row],[Name]]</f>
        <v>emit_flap</v>
      </c>
      <c r="F2" t="str">
        <f>SUBSTITUTE(SUBSTITUTE(LOWER(Table1[[#This Row],[Type]]),"decimal", "number"), "list", "array")</f>
        <v>boolean</v>
      </c>
      <c r="G2" s="4" t="str">
        <f>IF(Table1[[#This Row],[Ctype]]="string", CHAR(34) &amp; Table1[[#This Row],[Default Value]] &amp; CHAR(34), LOWER(Table1[[#This Row],[Default Value]]))</f>
        <v>false</v>
      </c>
      <c r="H2" t="str">
        <f>SUBSTITUTE(Table1[[#This Row],[Description]], CHAR(34), "\" &amp; CHAR(34))</f>
        <v>If true, the `flap` game event will be emitted when the entity moves through air.</v>
      </c>
      <c r="I2" s="4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"emit_flap": {
      "title": "emit flap",
      "type": "boolean",
      "default": false,
      "description": "If true, the `flap` game event will be emitted when the entity moves through air."
    },</v>
      </c>
      <c r="K2" s="2" t="str">
        <f>_xlfn.CONCAT(Table1[Json Schema])</f>
        <v xml:space="preserve">    "emit_flap": {
      "title": "emit flap",
      "type": "boolean",
      "default": false,
      "description": "If true, the `flap` game event will be emitted when the entity moves through air."
    },    "emit_move": {
      "title": "emit move",
      "type": "boolean",
      "default": true,
      "description": "If true, the `entityMove` game event will be emitted when the entity moves on ground or through a solid."
    },    "emit_swim": {
      "title": "emit swim",
      "type": "boolean",
      "default": true,
      "description": "If true, the `swim` game event will be emitted when the entity moves through a liquid."
    },</v>
      </c>
    </row>
    <row r="3" spans="1:11" ht="31.5" thickTop="1" thickBot="1" x14ac:dyDescent="0.3">
      <c r="A3" s="3" t="s">
        <v>39</v>
      </c>
      <c r="B3" s="3" t="s">
        <v>36</v>
      </c>
      <c r="C3" s="3" t="b">
        <v>1</v>
      </c>
      <c r="D3" s="3" t="s">
        <v>40</v>
      </c>
      <c r="E3" t="str">
        <f>Table1[[#This Row],[Name]]</f>
        <v>emit_move</v>
      </c>
      <c r="F3" t="str">
        <f>SUBSTITUTE(SUBSTITUTE(LOWER(Table1[[#This Row],[Type]]),"decimal", "number"), "list", "array")</f>
        <v>boolean</v>
      </c>
      <c r="G3" s="4" t="str">
        <f>IF(Table1[[#This Row],[Ctype]]="string", CHAR(34) &amp; Table1[[#This Row],[Default Value]] &amp; CHAR(34), LOWER(Table1[[#This Row],[Default Value]]))</f>
        <v>true</v>
      </c>
      <c r="H3" t="str">
        <f>SUBSTITUTE(Table1[[#This Row],[Description]], CHAR(34), "\" &amp; CHAR(34))</f>
        <v>If true, the `entityMove` game event will be emitted when the entity moves on ground or through a solid.</v>
      </c>
      <c r="I3" s="4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"emit_move": {
      "title": "emit move",
      "type": "boolean",
      "default": true,
      "description": "If true, the `entityMove` game event will be emitted when the entity moves on ground or through a solid."
    },</v>
      </c>
    </row>
    <row r="4" spans="1:11" ht="31.5" thickTop="1" thickBot="1" x14ac:dyDescent="0.3">
      <c r="A4" s="3" t="s">
        <v>41</v>
      </c>
      <c r="B4" s="3" t="s">
        <v>36</v>
      </c>
      <c r="C4" s="3" t="b">
        <v>1</v>
      </c>
      <c r="D4" s="3" t="s">
        <v>42</v>
      </c>
      <c r="E4" t="str">
        <f>Table1[[#This Row],[Name]]</f>
        <v>emit_swim</v>
      </c>
      <c r="F4" t="str">
        <f>SUBSTITUTE(SUBSTITUTE(LOWER(Table1[[#This Row],[Type]]),"decimal", "number"), "list", "array")</f>
        <v>boolean</v>
      </c>
      <c r="G4" s="4" t="str">
        <f>IF(Table1[[#This Row],[Ctype]]="string", CHAR(34) &amp; Table1[[#This Row],[Default Value]] &amp; CHAR(34), LOWER(Table1[[#This Row],[Default Value]]))</f>
        <v>true</v>
      </c>
      <c r="H4" t="str">
        <f>SUBSTITUTE(Table1[[#This Row],[Description]], CHAR(34), "\" &amp; CHAR(34))</f>
        <v>If true, the `swim` game event will be emitted when the entity moves through a liquid.</v>
      </c>
      <c r="I4" s="4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"emit_swim": {
      "title": "emit swim",
      "type": "boolean",
      "default": true,
      "description": "If true, the `swim` game event will be emitted when the entity moves through a liquid."
    },</v>
      </c>
    </row>
    <row r="5" spans="1:11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1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le1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CE3D-5C67-4587-8057-D204525A7E7C}">
  <sheetPr codeName="Sheet4"/>
  <dimension ref="A1:K5"/>
  <sheetViews>
    <sheetView workbookViewId="0">
      <selection activeCell="D13" sqref="D1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3" t="s">
        <v>37</v>
      </c>
      <c r="B2" s="3" t="s">
        <v>36</v>
      </c>
      <c r="C2" s="3" t="b">
        <v>0</v>
      </c>
      <c r="D2" s="3" t="s">
        <v>38</v>
      </c>
      <c r="E2" t="str">
        <f>Table14[[#This Row],[Name]]</f>
        <v>emit_flap</v>
      </c>
      <c r="F2" s="4" t="str">
        <f>SUBSTITUTE(SUBSTITUTE(LOWER(Table14[[#This Row],[Type]]),"decimal", "number"), "list", "array")</f>
        <v>false</v>
      </c>
      <c r="G2" s="4" t="str">
        <f>IF(Table14[[#This Row],[Ctype]]="string", CHAR(34) &amp; Table14[[#This Row],[Default Value]] &amp; CHAR(34), LOWER(Table14[[#This Row],[Default Value]]))</f>
        <v>boolean</v>
      </c>
      <c r="H2" t="str">
        <f>SUBSTITUTE(Table14[[#This Row],[Description]], CHAR(34), "\" &amp; CHAR(34))</f>
        <v>If true, the `flap` game event will be emitted when the entity moves through air.</v>
      </c>
      <c r="I2" s="4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"emit_flap": {
      "title": "emit flap",
      "type": "false",
      "default": boolean,
      "description": "If true, the `flap` game event will be emitted when the entity moves through air."
    },</v>
      </c>
      <c r="K2" s="2" t="str">
        <f>_xlfn.CONCAT(Table14[Json Schema])</f>
        <v xml:space="preserve">    "emit_flap": {
      "title": "emit flap",
      "type": "false",
      "default": boolean,
      "description": "If true, the `flap` game event will be emitted when the entity moves through air."
    },    "emit_move": {
      "title": "emit move",
      "type": "true",
      "default": boolean,
      "description": "If true, the `entityMove` game event will be emitted when the entity moves on ground or through a solid."
    },    "emit_swim": {
      "title": "emit swim",
      "type": "true",
      "default": boolean,
      "description": "If true, the `swim` game event will be emitted when the entity moves through a liquid."
    },</v>
      </c>
    </row>
    <row r="3" spans="1:11" ht="31.5" thickTop="1" thickBot="1" x14ac:dyDescent="0.3">
      <c r="A3" s="3" t="s">
        <v>39</v>
      </c>
      <c r="B3" s="3" t="s">
        <v>36</v>
      </c>
      <c r="C3" s="3" t="b">
        <v>1</v>
      </c>
      <c r="D3" s="3" t="s">
        <v>40</v>
      </c>
      <c r="E3" t="str">
        <f>Table14[[#This Row],[Name]]</f>
        <v>emit_move</v>
      </c>
      <c r="F3" s="4" t="str">
        <f>SUBSTITUTE(SUBSTITUTE(LOWER(Table14[[#This Row],[Type]]),"decimal", "number"), "list", "array")</f>
        <v>true</v>
      </c>
      <c r="G3" s="4" t="str">
        <f>IF(Table14[[#This Row],[Ctype]]="string", CHAR(34) &amp; Table14[[#This Row],[Default Value]] &amp; CHAR(34), LOWER(Table14[[#This Row],[Default Value]]))</f>
        <v>boolean</v>
      </c>
      <c r="H3" t="str">
        <f>SUBSTITUTE(Table14[[#This Row],[Description]], CHAR(34), "\" &amp; CHAR(34))</f>
        <v>If true, the `entityMove` game event will be emitted when the entity moves on ground or through a solid.</v>
      </c>
      <c r="I3" s="4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"emit_move": {
      "title": "emit move",
      "type": "true",
      "default": boolean,
      "description": "If true, the `entityMove` game event will be emitted when the entity moves on ground or through a solid."
    },</v>
      </c>
    </row>
    <row r="4" spans="1:11" ht="31.5" thickTop="1" thickBot="1" x14ac:dyDescent="0.3">
      <c r="A4" s="3" t="s">
        <v>41</v>
      </c>
      <c r="B4" s="3" t="s">
        <v>36</v>
      </c>
      <c r="C4" s="3" t="b">
        <v>1</v>
      </c>
      <c r="D4" s="3" t="s">
        <v>42</v>
      </c>
      <c r="E4" t="str">
        <f>Table14[[#This Row],[Name]]</f>
        <v>emit_swim</v>
      </c>
      <c r="F4" s="4" t="str">
        <f>SUBSTITUTE(SUBSTITUTE(LOWER(Table14[[#This Row],[Type]]),"decimal", "number"), "list", "array")</f>
        <v>true</v>
      </c>
      <c r="G4" s="4" t="str">
        <f>IF(Table14[[#This Row],[Ctype]]="string", CHAR(34) &amp; Table14[[#This Row],[Default Value]] &amp; CHAR(34), LOWER(Table14[[#This Row],[Default Value]]))</f>
        <v>boolean</v>
      </c>
      <c r="H4" t="str">
        <f>SUBSTITUTE(Table14[[#This Row],[Description]], CHAR(34), "\" &amp; CHAR(34))</f>
        <v>If true, the `swim` game event will be emitted when the entity moves through a liquid.</v>
      </c>
      <c r="I4" s="4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"emit_swim": {
      "title": "emit swim",
      "type": "true",
      "default": boolean,
      "description": "If true, the `swim` game event will be emitted when the entity moves through a liquid."
    },</v>
      </c>
    </row>
    <row r="5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able14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able14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C23" sqref="C23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Item</vt:lpstr>
      <vt:lpstr>Sheet1</vt:lpstr>
      <vt:lpstr>Sheet2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2022-09-20T17:37:45Z</dcterms:modified>
</cp:coreProperties>
</file>