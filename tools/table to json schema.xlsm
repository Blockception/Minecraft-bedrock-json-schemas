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VSCode-Bedrock-Development-Extension\minecraft-bedrock-schemas\tools\"/>
    </mc:Choice>
  </mc:AlternateContent>
  <xr:revisionPtr revIDLastSave="0" documentId="13_ncr:1_{B28B0F7B-9E91-46F4-984D-90052EE5806E}" xr6:coauthVersionLast="47" xr6:coauthVersionMax="47" xr10:uidLastSave="{00000000-0000-0000-0000-000000000000}"/>
  <bookViews>
    <workbookView xWindow="-28920" yWindow="-120" windowWidth="29040" windowHeight="15720" activeTab="1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F10" i="3" s="1"/>
  <c r="F3" i="3"/>
  <c r="F4" i="3"/>
  <c r="F5" i="3"/>
  <c r="F6" i="3"/>
  <c r="F7" i="3"/>
  <c r="F8" i="3"/>
  <c r="F9" i="3"/>
  <c r="G3" i="3"/>
  <c r="G4" i="3"/>
  <c r="G5" i="3"/>
  <c r="G6" i="3"/>
  <c r="G7" i="3"/>
  <c r="G8" i="3"/>
  <c r="G9" i="3"/>
  <c r="G10" i="3"/>
  <c r="H3" i="3"/>
  <c r="H4" i="3"/>
  <c r="H5" i="3"/>
  <c r="H6" i="3"/>
  <c r="H7" i="3"/>
  <c r="H8" i="3"/>
  <c r="H9" i="3"/>
  <c r="H10" i="3"/>
  <c r="E6" i="1"/>
  <c r="E7" i="1"/>
  <c r="E8" i="1"/>
  <c r="E9" i="1"/>
  <c r="E10" i="1"/>
  <c r="F6" i="1"/>
  <c r="G6" i="1" s="1"/>
  <c r="F7" i="1"/>
  <c r="G7" i="1" s="1"/>
  <c r="F8" i="1"/>
  <c r="G8" i="1" s="1"/>
  <c r="F9" i="1"/>
  <c r="G9" i="1" s="1"/>
  <c r="F10" i="1"/>
  <c r="G10" i="1" s="1"/>
  <c r="H6" i="1"/>
  <c r="H7" i="1"/>
  <c r="H8" i="1"/>
  <c r="H9" i="1"/>
  <c r="H10" i="1"/>
  <c r="F2" i="5"/>
  <c r="G2" i="5" s="1"/>
  <c r="G10" i="5"/>
  <c r="F3" i="5"/>
  <c r="G3" i="5" s="1"/>
  <c r="F4" i="5"/>
  <c r="G4" i="5" s="1"/>
  <c r="F5" i="5"/>
  <c r="G5" i="5" s="1"/>
  <c r="F6" i="5"/>
  <c r="G6" i="5" s="1"/>
  <c r="F7" i="5"/>
  <c r="G7" i="5" s="1"/>
  <c r="F8" i="5"/>
  <c r="G8" i="5" s="1"/>
  <c r="F9" i="5"/>
  <c r="G9" i="5" s="1"/>
  <c r="F10" i="5"/>
  <c r="F11" i="5"/>
  <c r="G11" i="5" s="1"/>
  <c r="F12" i="5"/>
  <c r="G12" i="5" s="1"/>
  <c r="E2" i="5"/>
  <c r="I2" i="5" s="1"/>
  <c r="E3" i="5"/>
  <c r="I3" i="5" s="1"/>
  <c r="E4" i="5"/>
  <c r="I4" i="5" s="1"/>
  <c r="E5" i="5"/>
  <c r="I5" i="5" s="1"/>
  <c r="E6" i="5"/>
  <c r="I6" i="5" s="1"/>
  <c r="E7" i="5"/>
  <c r="E8" i="5"/>
  <c r="E9" i="5"/>
  <c r="I9" i="5" s="1"/>
  <c r="E10" i="5"/>
  <c r="I10" i="5" s="1"/>
  <c r="E11" i="5"/>
  <c r="I11" i="5" s="1"/>
  <c r="E12" i="5"/>
  <c r="I12" i="5" s="1"/>
  <c r="H2" i="5"/>
  <c r="H3" i="5"/>
  <c r="H4" i="5"/>
  <c r="H5" i="5"/>
  <c r="H6" i="5"/>
  <c r="H7" i="5"/>
  <c r="H8" i="5"/>
  <c r="H9" i="5"/>
  <c r="H10" i="5"/>
  <c r="H11" i="5"/>
  <c r="H12" i="5"/>
  <c r="E2" i="1"/>
  <c r="E3" i="1"/>
  <c r="E4" i="1"/>
  <c r="E5" i="1"/>
  <c r="F2" i="1"/>
  <c r="G2" i="1" s="1"/>
  <c r="I2" i="1" s="1"/>
  <c r="F3" i="1"/>
  <c r="G3" i="1" s="1"/>
  <c r="F4" i="1"/>
  <c r="G4" i="1" s="1"/>
  <c r="F5" i="1"/>
  <c r="G5" i="1" s="1"/>
  <c r="H2" i="1"/>
  <c r="H3" i="1"/>
  <c r="H4" i="1"/>
  <c r="H5" i="1"/>
  <c r="I9" i="1" l="1"/>
  <c r="I6" i="1"/>
  <c r="I10" i="1"/>
  <c r="I7" i="1"/>
  <c r="I8" i="1"/>
  <c r="I4" i="1"/>
  <c r="I8" i="5"/>
  <c r="I7" i="5"/>
  <c r="I5" i="1"/>
  <c r="I3" i="1"/>
  <c r="E2" i="3"/>
  <c r="F2" i="3" s="1"/>
  <c r="G2" i="3"/>
  <c r="H2" i="3" l="1"/>
  <c r="J2" i="3" s="1"/>
  <c r="K2" i="1"/>
</calcChain>
</file>

<file path=xl/sharedStrings.xml><?xml version="1.0" encoding="utf-8"?>
<sst xmlns="http://schemas.openxmlformats.org/spreadsheetml/2006/main" count="140" uniqueCount="43">
  <si>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</si>
  <si>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</si>
  <si>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</si>
  <si>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</si>
  <si>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</si>
  <si>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</si>
  <si>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</si>
  <si>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</si>
  <si>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</si>
  <si>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Decimal</t>
  </si>
  <si>
    <t>not set</t>
  </si>
  <si>
    <t>String</t>
  </si>
  <si>
    <t>trigger</t>
  </si>
  <si>
    <t>The event to trigger when attacking.</t>
  </si>
  <si>
    <t>cooldown_range</t>
  </si>
  <si>
    <t>[10.0, 20.0]</t>
  </si>
  <si>
    <t>The minimum and maximum cooldown time-range in seconds between each attempted ram attack.</t>
  </si>
  <si>
    <t>attack</t>
  </si>
  <si>
    <t>0.3</t>
  </si>
  <si>
    <t>Amount of exhaustion applied when attacking.</t>
  </si>
  <si>
    <t>damage</t>
  </si>
  <si>
    <t>0.1</t>
  </si>
  <si>
    <t>Amount of exhaustion applied when taking damage.</t>
  </si>
  <si>
    <t>heal</t>
  </si>
  <si>
    <t>Amount of exhaustion applied when healed through food regeneration.</t>
  </si>
  <si>
    <t>jump</t>
  </si>
  <si>
    <t>0.2</t>
  </si>
  <si>
    <t>Amount of exhaustion applied when jumping.</t>
  </si>
  <si>
    <t>mine</t>
  </si>
  <si>
    <t>0.025</t>
  </si>
  <si>
    <t>Amount of exhaustion applied when mining.</t>
  </si>
  <si>
    <t>sprint</t>
  </si>
  <si>
    <t>0.01</t>
  </si>
  <si>
    <t>Amount of exhaustion applied when sprinting.</t>
  </si>
  <si>
    <t>sprint_jump</t>
  </si>
  <si>
    <t>0.8</t>
  </si>
  <si>
    <t>Amount of exhaustion applied when sprint jumping.</t>
  </si>
  <si>
    <t>swim</t>
  </si>
  <si>
    <t>0.015</t>
  </si>
  <si>
    <t>Amount of exhaustion applied when swimming.</t>
  </si>
  <si>
    <t>walk</t>
  </si>
  <si>
    <t>Amount of exhaustion applied when walking.</t>
  </si>
  <si>
    <t xml:space="preserve">    "$NAME$": {
      "title": "$TITLE$",
      "type": "$TYPE$",
      "default": $VALUE$,
      "description": "$DESCRIPTION$"
    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</si>
</sst>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E6E6E6"/>
      <name val="Segoe UI"/>
      <family val="2"/>
    </font>
    <font>
      <i/>
      <sz val="11"/>
      <color rgb="FFE6E6E6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71717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3" fillId="2" borderId="3" xfId="0" applyFont="1" applyFill="1" applyBorder="1" applyAlignment="1">
      <alignment horizontal="left" vertical="top" wrapText="1"/>
    </xf>
    <xf numFmtId="0" fontId="4" fillId="2" borderId="3" xfId="0" applyFont="1" applyFill="1" applyBorder="1" applyAlignment="1">
      <alignment horizontal="left" vertical="top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10" totalsRowShown="0">
  <autoFilter ref="A1:H10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/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10" totalsRowShown="0">
  <autoFilter ref="A1:I10" xr:uid="{439841C6-9CB3-4077-BD6A-80332BFA4FFA}"/>
  <sortState xmlns:xlrd2="http://schemas.microsoft.com/office/spreadsheetml/2017/richdata2" ref="A2:I10">
    <sortCondition ref="A1:A10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12" totalsRowShown="0">
  <autoFilter ref="A1:I12" xr:uid="{439841C6-9CB3-4077-BD6A-80332BFA4FFA}"/>
  <sortState xmlns:xlrd2="http://schemas.microsoft.com/office/spreadsheetml/2017/richdata2" ref="A2:I2">
    <sortCondition ref="A1:A5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11"/>
  <sheetViews>
    <sheetView workbookViewId="0">
      <selection activeCell="M3" sqref="M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SUBSTITUTE(SUBSTITUTE(LOWER(Table13[[#This Row],[Type]]),"decimal", "number"), "list", "array")</f>
        <v>number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0.3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attacking.": {
      "title": "attack",
      "type": "number",
      "default": ,
      "description": "0.3"
    },</v>
      </c>
      <c r="J2" s="2" t="str">
        <f>_xlfn.CONCAT(Table13[Json Schema])</f>
        <v xml:space="preserve">    "Amount of exhaustion applied when attacking.": {
      "title": "attack",
      "type": "number",
      "default": ,
      "description": "0.3"
    },    "Amount of exhaustion applied when taking damage.": {
      "title": "damage",
      "type": "number",
      "default": ,
      "description": "0.1"
    },    "Amount of exhaustion applied when healed through food regeneration.": {
      "title": "heal",
      "type": "number",
      "default": ,
      "description": "3"
    },    "Amount of exhaustion applied when jumping.": {
      "title": "jump",
      "type": "number",
      "default": ,
      "description": "0.2"
    },    "Amount of exhaustion applied when mining.": {
      "title": "mine",
      "type": "number",
      "default": ,
      "description": "0.025"
    },    "Amount of exhaustion applied when sprinting.": {
      "title": "sprint",
      "type": "number",
      "default": ,
      "description": "0.01"
    },    "Amount of exhaustion applied when sprint jumping.": {
      "title": "sprint jump",
      "type": "number",
      "default": ,
      "description": "0.8"
    },    "Amount of exhaustion applied when swimming.": {
      "title": "swim",
      "type": "number",
      "default": ,
      "description": "0.015"
    },    "Amount of exhaustion applied when walking.": {
      "title": "walk",
      "type": "number",
      "default": ,
      "description": "0.01"
    },</v>
      </c>
    </row>
    <row r="3" spans="1:10" ht="61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SUBSTITUTE(SUBSTITUTE(LOWER(Table13[[#This Row],[Type]]),"decimal", "number"), "list", "array")</f>
        <v>number</v>
      </c>
      <c r="F3" s="3" t="e">
        <f>IF(Table13[[#This Row],[Ctype]]="string", CHAR(34) &amp;#REF! &amp; CHAR(34), LOWER(#REF!))</f>
        <v>#REF!</v>
      </c>
      <c r="G3" t="str">
        <f>SUBSTITUTE(Table13[[#This Row],[Description]], CHAR(34), "\" &amp; CHAR(34))</f>
        <v>0.1</v>
      </c>
      <c r="H3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taking damage.": {
      "title": "damage",
      "type": "number",
      "default": ,
      "description": "0.1"
    },</v>
      </c>
    </row>
    <row r="4" spans="1:10" ht="7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SUBSTITUTE(SUBSTITUTE(LOWER(Table13[[#This Row],[Type]]),"decimal", "number"), "list", "array")</f>
        <v>number</v>
      </c>
      <c r="F4" s="3" t="e">
        <f>IF(Table13[[#This Row],[Ctype]]="string", CHAR(34) &amp;#REF! &amp; CHAR(34), LOWER(#REF!))</f>
        <v>#REF!</v>
      </c>
      <c r="G4" t="str">
        <f>SUBSTITUTE(Table13[[#This Row],[Description]], CHAR(34), "\" &amp; CHAR(34))</f>
        <v>3</v>
      </c>
      <c r="H4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healed through food regeneration.": {
      "title": "heal",
      "type": "number",
      "default": ,
      "description": "3"
    },</v>
      </c>
    </row>
    <row r="5" spans="1:10" ht="4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SUBSTITUTE(SUBSTITUTE(LOWER(Table13[[#This Row],[Type]]),"decimal", "number"), "list", "array")</f>
        <v>number</v>
      </c>
      <c r="F5" s="3" t="e">
        <f>IF(Table13[[#This Row],[Ctype]]="string", CHAR(34) &amp;#REF! &amp; CHAR(34), LOWER(#REF!))</f>
        <v>#REF!</v>
      </c>
      <c r="G5" t="str">
        <f>SUBSTITUTE(Table13[[#This Row],[Description]], CHAR(34), "\" &amp; CHAR(34))</f>
        <v>0.2</v>
      </c>
      <c r="H5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jumping.": {
      "title": "jump",
      "type": "number",
      "default": ,
      "description": "0.2"
    },</v>
      </c>
    </row>
    <row r="6" spans="1:10" ht="4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SUBSTITUTE(SUBSTITUTE(LOWER(Table13[[#This Row],[Type]]),"decimal", "number"), "list", "array")</f>
        <v>number</v>
      </c>
      <c r="F6" s="3" t="e">
        <f>IF(Table13[[#This Row],[Ctype]]="string", CHAR(34) &amp;#REF! &amp; CHAR(34), LOWER(#REF!))</f>
        <v>#REF!</v>
      </c>
      <c r="G6" t="str">
        <f>SUBSTITUTE(Table13[[#This Row],[Description]], CHAR(34), "\" &amp; CHAR(34))</f>
        <v>0.025</v>
      </c>
      <c r="H6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mining.": {
      "title": "mine",
      "type": "number",
      "default": ,
      "description": "0.025"
    },</v>
      </c>
    </row>
    <row r="7" spans="1:10" ht="4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SUBSTITUTE(SUBSTITUTE(LOWER(Table13[[#This Row],[Type]]),"decimal", "number"), "list", "array")</f>
        <v>number</v>
      </c>
      <c r="F7" s="3" t="e">
        <f>IF(Table13[[#This Row],[Ctype]]="string", CHAR(34) &amp;#REF! &amp; CHAR(34), LOWER(#REF!))</f>
        <v>#REF!</v>
      </c>
      <c r="G7" t="str">
        <f>SUBSTITUTE(Table13[[#This Row],[Description]], CHAR(34), "\" &amp; CHAR(34))</f>
        <v>0.01</v>
      </c>
      <c r="H7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sprinting.": {
      "title": "sprint",
      "type": "number",
      "default": ,
      "description": "0.01"
    },</v>
      </c>
    </row>
    <row r="8" spans="1:10" ht="61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SUBSTITUTE(SUBSTITUTE(LOWER(Table13[[#This Row],[Type]]),"decimal", "number"), "list", "array")</f>
        <v>number</v>
      </c>
      <c r="F8" s="3" t="e">
        <f>IF(Table13[[#This Row],[Ctype]]="string", CHAR(34) &amp;#REF! &amp; CHAR(34), LOWER(#REF!))</f>
        <v>#REF!</v>
      </c>
      <c r="G8" t="str">
        <f>SUBSTITUTE(Table13[[#This Row],[Description]], CHAR(34), "\" &amp; CHAR(34))</f>
        <v>0.8</v>
      </c>
      <c r="H8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 jumping.": {
      "title": "sprint jump",
      "type": "number",
      "default": ,
      "description": "0.8"
    },</v>
      </c>
    </row>
    <row r="9" spans="1:10" ht="4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SUBSTITUTE(SUBSTITUTE(LOWER(Table13[[#This Row],[Type]]),"decimal", "number"), "list", "array")</f>
        <v>number</v>
      </c>
      <c r="F9" s="3" t="e">
        <f>IF(Table13[[#This Row],[Ctype]]="string", CHAR(34) &amp;#REF! &amp; CHAR(34), LOWER(#REF!))</f>
        <v>#REF!</v>
      </c>
      <c r="G9" t="str">
        <f>SUBSTITUTE(Table13[[#This Row],[Description]], CHAR(34), "\" &amp; CHAR(34))</f>
        <v>0.015</v>
      </c>
      <c r="H9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swimming.": {
      "title": "swim",
      "type": "number",
      "default": ,
      "description": "0.015"
    },</v>
      </c>
    </row>
    <row r="10" spans="1:10" ht="4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SUBSTITUTE(SUBSTITUTE(LOWER(Table13[[#This Row],[Type]]),"decimal", "number"), "list", "array")</f>
        <v>number</v>
      </c>
      <c r="F10" s="3" t="e">
        <f>IF(Table13[[#This Row],[Ctype]]="string", CHAR(34) &amp;#REF! &amp; CHAR(34), LOWER(#REF!))</f>
        <v>#REF!</v>
      </c>
      <c r="G10" t="str">
        <f>SUBSTITUTE(Table13[[#This Row],[Description]], CHAR(34), "\" &amp; CHAR(34))</f>
        <v>0.01</v>
      </c>
      <c r="H10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walking.": {
      "title": "walk",
      "type": "number",
      "default": ,
      "description": "0.01"
    },</v>
      </c>
    </row>
    <row r="11" spans="1:10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11"/>
  <sheetViews>
    <sheetView tabSelected="1" workbookViewId="0">
      <selection activeCell="D17" sqref="D17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Table1[[#This Row],[Name]]</f>
        <v>attack</v>
      </c>
      <c r="F2" t="str">
        <f>SUBSTITUTE(SUBSTITUTE(LOWER(Table1[[#This Row],[Type]]),"decimal", "number"), "list", "array")</f>
        <v>number</v>
      </c>
      <c r="G2" s="3" t="str">
        <f>IF(Table1[[#This Row],[Ctype]]="string", CHAR(34) &amp; Table1[[#This Row],[Default Value]] &amp; CHAR(34), LOWER(Table1[[#This Row],[Default Value]]))</f>
        <v>0.3</v>
      </c>
      <c r="H2" t="str">
        <f>SUBSTITUTE(Table1[[#This Row],[Description]], CHAR(34), "\" &amp; CHAR(34))</f>
        <v>Amount of exhaustion applied when attacking.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"attack": {
      "title": "attack",
      "type": "number",
      "default": 0.3,
      "description": "Amount of exhaustion applied when attacking."
    },</v>
      </c>
      <c r="K2" s="2" t="str">
        <f>_xlfn.CONCAT(Table1[Json Schema])</f>
        <v xml:space="preserve">    "attack": {
      "title": "attack",
      "type": "number",
      "default": 0.3,
      "description": "Amount of exhaustion applied when attacking."
    },    "damage": {
      "title": "damage",
      "type": "number",
      "default": 0.1,
      "description": "Amount of exhaustion applied when taking damage."
    },    "heal": {
      "title": "heal",
      "type": "number",
      "default": 3,
      "description": "Amount of exhaustion applied when healed through food regeneration."
    },    "jump": {
      "title": "jump",
      "type": "number",
      "default": 0.2,
      "description": "Amount of exhaustion applied when jumping."
    },    "mine": {
      "title": "mine",
      "type": "number",
      "default": 0.025,
      "description": "Amount of exhaustion applied when mining."
    },    "sprint": {
      "title": "sprint",
      "type": "number",
      "default": 0.01,
      "description": "Amount of exhaustion applied when sprinting."
    },    "sprint_jump": {
      "title": "sprint jump",
      "type": "number",
      "default": 0.8,
      "description": "Amount of exhaustion applied when sprint jumping."
    },    "swim": {
      "title": "swim",
      "type": "number",
      "default": 0.015,
      "description": "Amount of exhaustion applied when swimming."
    },    "walk": {
      "title": "walk",
      "type": "number",
      "default": 0.01,
      "description": "Amount of exhaustion applied when walking."
    },</v>
      </c>
    </row>
    <row r="3" spans="1:11" ht="16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Table1[[#This Row],[Name]]</f>
        <v>damage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0.1</v>
      </c>
      <c r="H3" t="str">
        <f>SUBSTITUTE(Table1[[#This Row],[Description]], CHAR(34), "\" &amp; CHAR(34))</f>
        <v>Amount of exhaustion applied when taking damage.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"damage": {
      "title": "damage",
      "type": "number",
      "default": 0.1,
      "description": "Amount of exhaustion applied when taking damage."
    },</v>
      </c>
    </row>
    <row r="4" spans="1:11" ht="1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Table1[[#This Row],[Name]]</f>
        <v>heal</v>
      </c>
      <c r="F4" t="str">
        <f>SUBSTITUTE(SUBSTITUTE(LOWER(Table1[[#This Row],[Type]]),"decimal", "number"), "list", "array")</f>
        <v>number</v>
      </c>
      <c r="G4" s="3" t="str">
        <f>IF(Table1[[#This Row],[Ctype]]="string", CHAR(34) &amp; Table1[[#This Row],[Default Value]] &amp; CHAR(34), LOWER(Table1[[#This Row],[Default Value]]))</f>
        <v>3</v>
      </c>
      <c r="H4" t="str">
        <f>SUBSTITUTE(Table1[[#This Row],[Description]], CHAR(34), "\" &amp; CHAR(34))</f>
        <v>Amount of exhaustion applied when healed through food regeneration.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"heal": {
      "title": "heal",
      "type": "number",
      "default": 3,
      "description": "Amount of exhaustion applied when healed through food regeneration."
    },</v>
      </c>
    </row>
    <row r="5" spans="1:11" ht="1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Table1[[#This Row],[Name]]</f>
        <v>jump</v>
      </c>
      <c r="F5" t="str">
        <f>SUBSTITUTE(SUBSTITUTE(LOWER(Table1[[#This Row],[Type]]),"decimal", "number"), "list", "array")</f>
        <v>number</v>
      </c>
      <c r="G5" s="3" t="str">
        <f>IF(Table1[[#This Row],[Ctype]]="string", CHAR(34) &amp; Table1[[#This Row],[Default Value]] &amp; CHAR(34), LOWER(Table1[[#This Row],[Default Value]]))</f>
        <v>0.2</v>
      </c>
      <c r="H5" t="str">
        <f>SUBSTITUTE(Table1[[#This Row],[Description]], CHAR(34), "\" &amp; CHAR(34))</f>
        <v>Amount of exhaustion applied when jumping.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"jump": {
      "title": "jump",
      "type": "number",
      "default": 0.2,
      "description": "Amount of exhaustion applied when jumping."
    },</v>
      </c>
    </row>
    <row r="6" spans="1:11" ht="1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Table1[[#This Row],[Name]]</f>
        <v>mine</v>
      </c>
      <c r="F6" t="str">
        <f>SUBSTITUTE(SUBSTITUTE(LOWER(Table1[[#This Row],[Type]]),"decimal", "number"), "list", "array")</f>
        <v>number</v>
      </c>
      <c r="G6" s="3" t="str">
        <f>IF(Table1[[#This Row],[Ctype]]="string", CHAR(34) &amp; Table1[[#This Row],[Default Value]] &amp; CHAR(34), LOWER(Table1[[#This Row],[Default Value]]))</f>
        <v>0.025</v>
      </c>
      <c r="H6" t="str">
        <f>SUBSTITUTE(Table1[[#This Row],[Description]], CHAR(34), "\" &amp; CHAR(34))</f>
        <v>Amount of exhaustion applied when mining.</v>
      </c>
      <c r="I6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"mine": {
      "title": "mine",
      "type": "number",
      "default": 0.025,
      "description": "Amount of exhaustion applied when mining."
    },</v>
      </c>
    </row>
    <row r="7" spans="1:11" ht="1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Table1[[#This Row],[Name]]</f>
        <v>sprint</v>
      </c>
      <c r="F7" t="str">
        <f>SUBSTITUTE(SUBSTITUTE(LOWER(Table1[[#This Row],[Type]]),"decimal", "number"), "list", "array")</f>
        <v>number</v>
      </c>
      <c r="G7" s="3" t="str">
        <f>IF(Table1[[#This Row],[Ctype]]="string", CHAR(34) &amp; Table1[[#This Row],[Default Value]] &amp; CHAR(34), LOWER(Table1[[#This Row],[Default Value]]))</f>
        <v>0.01</v>
      </c>
      <c r="H7" t="str">
        <f>SUBSTITUTE(Table1[[#This Row],[Description]], CHAR(34), "\" &amp; CHAR(34))</f>
        <v>Amount of exhaustion applied when sprinting.</v>
      </c>
      <c r="I7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"sprint": {
      "title": "sprint",
      "type": "number",
      "default": 0.01,
      "description": "Amount of exhaustion applied when sprinting."
    },</v>
      </c>
    </row>
    <row r="8" spans="1:11" ht="16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Table1[[#This Row],[Name]]</f>
        <v>sprint_jump</v>
      </c>
      <c r="F8" t="str">
        <f>SUBSTITUTE(SUBSTITUTE(LOWER(Table1[[#This Row],[Type]]),"decimal", "number"), "list", "array")</f>
        <v>number</v>
      </c>
      <c r="G8" s="3" t="str">
        <f>IF(Table1[[#This Row],[Ctype]]="string", CHAR(34) &amp; Table1[[#This Row],[Default Value]] &amp; CHAR(34), LOWER(Table1[[#This Row],[Default Value]]))</f>
        <v>0.8</v>
      </c>
      <c r="H8" t="str">
        <f>SUBSTITUTE(Table1[[#This Row],[Description]], CHAR(34), "\" &amp; CHAR(34))</f>
        <v>Amount of exhaustion applied when sprint jumping.</v>
      </c>
      <c r="I8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"sprint_jump": {
      "title": "sprint jump",
      "type": "number",
      "default": 0.8,
      "description":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Table1[[#This Row],[Name]]</f>
        <v>swim</v>
      </c>
      <c r="F9" t="str">
        <f>SUBSTITUTE(SUBSTITUTE(LOWER(Table1[[#This Row],[Type]]),"decimal", "number"), "list", "array")</f>
        <v>number</v>
      </c>
      <c r="G9" s="3" t="str">
        <f>IF(Table1[[#This Row],[Ctype]]="string", CHAR(34) &amp; Table1[[#This Row],[Default Value]] &amp; CHAR(34), LOWER(Table1[[#This Row],[Default Value]]))</f>
        <v>0.015</v>
      </c>
      <c r="H9" t="str">
        <f>SUBSTITUTE(Table1[[#This Row],[Description]], CHAR(34), "\" &amp; CHAR(34))</f>
        <v>Amount of exhaustion applied when swimming.</v>
      </c>
      <c r="I9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"swim": {
      "title": "swim",
      "type": "number",
      "default": 0.015,
      "description": "Amount of exhaustion applied when swimming."
    },</v>
      </c>
    </row>
    <row r="10" spans="1:11" ht="1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Table1[[#This Row],[Name]]</f>
        <v>walk</v>
      </c>
      <c r="F10" t="str">
        <f>SUBSTITUTE(SUBSTITUTE(LOWER(Table1[[#This Row],[Type]]),"decimal", "number"), "list", "array")</f>
        <v>number</v>
      </c>
      <c r="G10" s="3" t="str">
        <f>IF(Table1[[#This Row],[Ctype]]="string", CHAR(34) &amp; Table1[[#This Row],[Default Value]] &amp; CHAR(34), LOWER(Table1[[#This Row],[Default Value]]))</f>
        <v>0.01</v>
      </c>
      <c r="H10" t="str">
        <f>SUBSTITUTE(Table1[[#This Row],[Description]], CHAR(34), "\" &amp; CHAR(34))</f>
        <v>Amount of exhaustion applied when walking.</v>
      </c>
      <c r="I10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"walk": {
      "title": "walk",
      "type": "number",
      "default": 0.01,
      "description": "Amount of exhaustion applied when walking."
    },</v>
      </c>
    </row>
    <row r="11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12"/>
  <sheetViews>
    <sheetView workbookViewId="0">
      <selection activeCell="A2" sqref="A2:D10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Table14[[#This Row],[Name]]</f>
        <v>attack</v>
      </c>
      <c r="F2" t="str">
        <f>SUBSTITUTE(SUBSTITUTE(LOWER(Table14[[#This Row],[Type]]),"decimal", "number"), "list", "array")</f>
        <v>0.3</v>
      </c>
      <c r="G2" s="3" t="str">
        <f>IF(Table14[[#This Row],[Ctype]]="string", CHAR(34) &amp; Table14[[#This Row],[Default Value]] &amp; CHAR(34), LOWER(Table14[[#This Row],[Default Value]]))</f>
        <v>decimal</v>
      </c>
      <c r="H2" t="str">
        <f>SUBSTITUTE(Table14[[#This Row],[Description]], CHAR(34), "\" &amp; CHAR(34))</f>
        <v>Amount of exhaustion applied when attacking.</v>
      </c>
      <c r="I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"attack": {
      "title": "attack",
      "type": "0.3",
      "default": decimal,
      "description": "Amount of exhaustion applied when attacking."
    },</v>
      </c>
      <c r="K2" s="2"/>
    </row>
    <row r="3" spans="1:11" ht="16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Table14[[#This Row],[Name]]</f>
        <v>damage</v>
      </c>
      <c r="F3" t="str">
        <f>SUBSTITUTE(SUBSTITUTE(LOWER(Table14[[#This Row],[Type]]),"decimal", "number"), "list", "array")</f>
        <v>0.1</v>
      </c>
      <c r="G3" s="3" t="str">
        <f>IF(Table14[[#This Row],[Ctype]]="string", CHAR(34) &amp; Table14[[#This Row],[Default Value]] &amp; CHAR(34), LOWER(Table14[[#This Row],[Default Value]]))</f>
        <v>decimal</v>
      </c>
      <c r="H3" t="str">
        <f>SUBSTITUTE(Table14[[#This Row],[Description]], CHAR(34), "\" &amp; CHAR(34))</f>
        <v>Amount of exhaustion applied when taking damage.</v>
      </c>
      <c r="I3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"damage": {
      "title": "damage",
      "type": "0.1",
      "default": decimal,
      "description": "Amount of exhaustion applied when taking damage."
    },</v>
      </c>
    </row>
    <row r="4" spans="1:11" ht="1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Table14[[#This Row],[Name]]</f>
        <v>heal</v>
      </c>
      <c r="F4" t="str">
        <f>SUBSTITUTE(SUBSTITUTE(LOWER(Table14[[#This Row],[Type]]),"decimal", "number"), "list", "array")</f>
        <v>3</v>
      </c>
      <c r="G4" s="3" t="str">
        <f>IF(Table14[[#This Row],[Ctype]]="string", CHAR(34) &amp; Table14[[#This Row],[Default Value]] &amp; CHAR(34), LOWER(Table14[[#This Row],[Default Value]]))</f>
        <v>decimal</v>
      </c>
      <c r="H4" t="str">
        <f>SUBSTITUTE(Table14[[#This Row],[Description]], CHAR(34), "\" &amp; CHAR(34))</f>
        <v>Amount of exhaustion applied when healed through food regeneration.</v>
      </c>
      <c r="I4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"heal": {
      "title": "heal",
      "type": "3",
      "default": decimal,
      "description": "Amount of exhaustion applied when healed through food regeneration."
    },</v>
      </c>
    </row>
    <row r="5" spans="1:11" ht="1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Table14[[#This Row],[Name]]</f>
        <v>jump</v>
      </c>
      <c r="F5" t="str">
        <f>SUBSTITUTE(SUBSTITUTE(LOWER(Table14[[#This Row],[Type]]),"decimal", "number"), "list", "array")</f>
        <v>0.2</v>
      </c>
      <c r="G5" s="3" t="str">
        <f>IF(Table14[[#This Row],[Ctype]]="string", CHAR(34) &amp; Table14[[#This Row],[Default Value]] &amp; CHAR(34), LOWER(Table14[[#This Row],[Default Value]]))</f>
        <v>decimal</v>
      </c>
      <c r="H5" t="str">
        <f>SUBSTITUTE(Table14[[#This Row],[Description]], CHAR(34), "\" &amp; CHAR(34))</f>
        <v>Amount of exhaustion applied when jumping.</v>
      </c>
      <c r="I5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"jump": {
      "title": "jump",
      "type": "0.2",
      "default": decimal,
      "description": "Amount of exhaustion applied when jumping."
    },</v>
      </c>
    </row>
    <row r="6" spans="1:11" ht="1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Table14[[#This Row],[Name]]</f>
        <v>mine</v>
      </c>
      <c r="F6" t="str">
        <f>SUBSTITUTE(SUBSTITUTE(LOWER(Table14[[#This Row],[Type]]),"decimal", "number"), "list", "array")</f>
        <v>0.025</v>
      </c>
      <c r="G6" s="3" t="str">
        <f>IF(Table14[[#This Row],[Ctype]]="string", CHAR(34) &amp; Table14[[#This Row],[Default Value]] &amp; CHAR(34), LOWER(Table14[[#This Row],[Default Value]]))</f>
        <v>decimal</v>
      </c>
      <c r="H6" t="str">
        <f>SUBSTITUTE(Table14[[#This Row],[Description]], CHAR(34), "\" &amp; CHAR(34))</f>
        <v>Amount of exhaustion applied when mining.</v>
      </c>
      <c r="I6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"mine": {
      "title": "mine",
      "type": "0.025",
      "default": decimal,
      "description": "Amount of exhaustion applied when mining."
    },</v>
      </c>
    </row>
    <row r="7" spans="1:11" ht="1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Table14[[#This Row],[Name]]</f>
        <v>sprint</v>
      </c>
      <c r="F7" t="str">
        <f>SUBSTITUTE(SUBSTITUTE(LOWER(Table14[[#This Row],[Type]]),"decimal", "number"), "list", "array")</f>
        <v>0.01</v>
      </c>
      <c r="G7" s="3" t="str">
        <f>IF(Table14[[#This Row],[Ctype]]="string", CHAR(34) &amp; Table14[[#This Row],[Default Value]] &amp; CHAR(34), LOWER(Table14[[#This Row],[Default Value]]))</f>
        <v>decimal</v>
      </c>
      <c r="H7" t="str">
        <f>SUBSTITUTE(Table14[[#This Row],[Description]], CHAR(34), "\" &amp; CHAR(34))</f>
        <v>Amount of exhaustion applied when sprinting.</v>
      </c>
      <c r="I7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"sprint": {
      "title": "sprint",
      "type": "0.01",
      "default": decimal,
      "description": "Amount of exhaustion applied when sprinting."
    },</v>
      </c>
    </row>
    <row r="8" spans="1:11" ht="16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Table14[[#This Row],[Name]]</f>
        <v>sprint_jump</v>
      </c>
      <c r="F8" t="str">
        <f>SUBSTITUTE(SUBSTITUTE(LOWER(Table14[[#This Row],[Type]]),"decimal", "number"), "list", "array")</f>
        <v>0.8</v>
      </c>
      <c r="G8" s="3" t="str">
        <f>IF(Table14[[#This Row],[Ctype]]="string", CHAR(34) &amp; Table14[[#This Row],[Default Value]] &amp; CHAR(34), LOWER(Table14[[#This Row],[Default Value]]))</f>
        <v>decimal</v>
      </c>
      <c r="H8" t="str">
        <f>SUBSTITUTE(Table14[[#This Row],[Description]], CHAR(34), "\" &amp; CHAR(34))</f>
        <v>Amount of exhaustion applied when sprint jumping.</v>
      </c>
      <c r="I8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"sprint_jump": {
      "title": "sprint jump",
      "type": "0.8",
      "default": decimal,
      "description":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Table14[[#This Row],[Name]]</f>
        <v>swim</v>
      </c>
      <c r="F9" t="str">
        <f>SUBSTITUTE(SUBSTITUTE(LOWER(Table14[[#This Row],[Type]]),"decimal", "number"), "list", "array")</f>
        <v>0.015</v>
      </c>
      <c r="G9" s="3" t="str">
        <f>IF(Table14[[#This Row],[Ctype]]="string", CHAR(34) &amp; Table14[[#This Row],[Default Value]] &amp; CHAR(34), LOWER(Table14[[#This Row],[Default Value]]))</f>
        <v>decimal</v>
      </c>
      <c r="H9" t="str">
        <f>SUBSTITUTE(Table14[[#This Row],[Description]], CHAR(34), "\" &amp; CHAR(34))</f>
        <v>Amount of exhaustion applied when swimming.</v>
      </c>
      <c r="I9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"swim": {
      "title": "swim",
      "type": "0.015",
      "default": decimal,
      "description": "Amount of exhaustion applied when swimming."
    },</v>
      </c>
    </row>
    <row r="10" spans="1:11" ht="1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Table14[[#This Row],[Name]]</f>
        <v>walk</v>
      </c>
      <c r="F10" t="str">
        <f>SUBSTITUTE(SUBSTITUTE(LOWER(Table14[[#This Row],[Type]]),"decimal", "number"), "list", "array")</f>
        <v>0.01</v>
      </c>
      <c r="G10" s="3" t="str">
        <f>IF(Table14[[#This Row],[Ctype]]="string", CHAR(34) &amp; Table14[[#This Row],[Default Value]] &amp; CHAR(34), LOWER(Table14[[#This Row],[Default Value]]))</f>
        <v>decimal</v>
      </c>
      <c r="H10" t="str">
        <f>SUBSTITUTE(Table14[[#This Row],[Description]], CHAR(34), "\" &amp; CHAR(34))</f>
        <v>Amount of exhaustion applied when walking.</v>
      </c>
      <c r="I10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"walk": {
      "title": "walk",
      "type": "0.01",
      "default": decimal,
      "description": "Amount of exhaustion applied when walking."
    },</v>
      </c>
    </row>
    <row r="11" spans="1:11" ht="18" thickTop="1" thickBot="1" x14ac:dyDescent="0.3">
      <c r="A11" s="5" t="s">
        <v>12</v>
      </c>
      <c r="B11" s="6" t="s">
        <v>10</v>
      </c>
      <c r="C11" s="5" t="s">
        <v>11</v>
      </c>
      <c r="D11" s="5" t="s">
        <v>13</v>
      </c>
      <c r="E11" t="str">
        <f>Table14[[#This Row],[Name]]</f>
        <v>trigger</v>
      </c>
      <c r="F11" t="str">
        <f>SUBSTITUTE(SUBSTITUTE(LOWER(Table14[[#This Row],[Type]]),"decimal", "number"), "list", "array")</f>
        <v>string</v>
      </c>
      <c r="G11" s="3" t="str">
        <f>IF(Table14[[#This Row],[Ctype]]="string", CHAR(34) &amp; Table14[[#This Row],[Default Value]] &amp; CHAR(34), LOWER(Table14[[#This Row],[Default Value]]))</f>
        <v>"not set"</v>
      </c>
      <c r="H11" t="str">
        <f>SUBSTITUTE(Table14[[#This Row],[Description]], CHAR(34), "\" &amp; CHAR(34))</f>
        <v>The event to trigger when attacking.</v>
      </c>
      <c r="I11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"trigger": {
      "title": "trigger",
      "type": "string",
      "default": "not set",
      "description": "The event to trigger when attacking."
    },</v>
      </c>
    </row>
    <row r="12" spans="1:11" ht="33" x14ac:dyDescent="0.25">
      <c r="A12" s="5" t="s">
        <v>14</v>
      </c>
      <c r="B12" s="5" t="s">
        <v>15</v>
      </c>
      <c r="C12" s="5" t="s">
        <v>9</v>
      </c>
      <c r="D12" s="5" t="s">
        <v>16</v>
      </c>
      <c r="E12" t="str">
        <f>Table14[[#This Row],[Name]]</f>
        <v>cooldown_range</v>
      </c>
      <c r="F12" t="str">
        <f>SUBSTITUTE(SUBSTITUTE(LOWER(Table14[[#This Row],[Type]]),"decimal", "number"), "list", "array")</f>
        <v>number</v>
      </c>
      <c r="G12" s="3" t="str">
        <f>IF(Table14[[#This Row],[Ctype]]="string", CHAR(34) &amp; Table14[[#This Row],[Default Value]] &amp; CHAR(34), LOWER(Table14[[#This Row],[Default Value]]))</f>
        <v>[10.0, 20.0]</v>
      </c>
      <c r="H12" t="str">
        <f>SUBSTITUTE(Table14[[#This Row],[Description]], CHAR(34), "\" &amp; CHAR(34))</f>
        <v>The minimum and maximum cooldown time-range in seconds between each attempted ram attack.</v>
      </c>
      <c r="I1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"cooldown_range": {
      "title": "cooldown range",
      "type": "number",
      "default": [10.0, 20.0],
      "description": "The minimum and maximum cooldown time-range in seconds between each attempted ram attack."
    },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C23" sqref="C23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2022-04-20T10:20:10Z</dcterms:modified>
</cp:coreProperties>
</file>