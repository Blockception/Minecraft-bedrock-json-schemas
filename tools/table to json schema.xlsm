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rojects\Blockception\Software\VSCode-Bedrock-Development-Extension\minecraft-bedrock-schemas\tools\"/>
    </mc:Choice>
  </mc:AlternateContent>
  <xr:revisionPtr revIDLastSave="0" documentId="13_ncr:1_{9C074740-A233-4B74-9938-788EC0E314E8}" xr6:coauthVersionLast="47" xr6:coauthVersionMax="47" xr10:uidLastSave="{00000000-0000-0000-0000-000000000000}"/>
  <bookViews>
    <workbookView xWindow="-120" yWindow="-120" windowWidth="38640" windowHeight="21120" activeTab="1" xr2:uid="{03531832-3421-4F1A-B28C-9978E920E8BE}"/>
  </bookViews>
  <sheets>
    <sheet name="Item" sheetId="3" r:id="rId1"/>
    <sheet name="Sheet1" sheetId="1" r:id="rId2"/>
    <sheet name="Sheet2" sheetId="5" r:id="rId3"/>
    <sheet name="Data" sheetId="2" r:id="rId4"/>
  </sheets>
  <definedNames>
    <definedName name="Template">Data!$A$1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" i="1" l="1"/>
  <c r="E3" i="1"/>
  <c r="E4" i="1"/>
  <c r="E5" i="1"/>
  <c r="I5" i="1" s="1"/>
  <c r="E6" i="1"/>
  <c r="I6" i="1" s="1"/>
  <c r="F2" i="1"/>
  <c r="G2" i="1" s="1"/>
  <c r="I2" i="1" s="1"/>
  <c r="F3" i="1"/>
  <c r="G3" i="1" s="1"/>
  <c r="F4" i="1"/>
  <c r="G4" i="1" s="1"/>
  <c r="F5" i="1"/>
  <c r="G5" i="1" s="1"/>
  <c r="F6" i="1"/>
  <c r="G6" i="1"/>
  <c r="H2" i="1"/>
  <c r="H3" i="1"/>
  <c r="H4" i="1"/>
  <c r="H5" i="1"/>
  <c r="H6" i="1"/>
  <c r="E3" i="3"/>
  <c r="E4" i="3"/>
  <c r="E5" i="3"/>
  <c r="E6" i="3"/>
  <c r="E7" i="3"/>
  <c r="E8" i="3"/>
  <c r="E9" i="3"/>
  <c r="E10" i="3"/>
  <c r="F10" i="3" s="1"/>
  <c r="F3" i="3"/>
  <c r="F4" i="3"/>
  <c r="F5" i="3"/>
  <c r="F6" i="3"/>
  <c r="F7" i="3"/>
  <c r="F8" i="3"/>
  <c r="F9" i="3"/>
  <c r="G3" i="3"/>
  <c r="G4" i="3"/>
  <c r="G5" i="3"/>
  <c r="G6" i="3"/>
  <c r="G7" i="3"/>
  <c r="G8" i="3"/>
  <c r="G9" i="3"/>
  <c r="G10" i="3"/>
  <c r="H3" i="3"/>
  <c r="H4" i="3"/>
  <c r="H5" i="3"/>
  <c r="H6" i="3"/>
  <c r="H7" i="3"/>
  <c r="H8" i="3"/>
  <c r="H9" i="3"/>
  <c r="H10" i="3"/>
  <c r="F2" i="5"/>
  <c r="G2" i="5" s="1"/>
  <c r="G10" i="5"/>
  <c r="F3" i="5"/>
  <c r="G3" i="5" s="1"/>
  <c r="F4" i="5"/>
  <c r="G4" i="5" s="1"/>
  <c r="F5" i="5"/>
  <c r="G5" i="5" s="1"/>
  <c r="F6" i="5"/>
  <c r="G6" i="5" s="1"/>
  <c r="F7" i="5"/>
  <c r="G7" i="5" s="1"/>
  <c r="F8" i="5"/>
  <c r="G8" i="5" s="1"/>
  <c r="F9" i="5"/>
  <c r="G9" i="5" s="1"/>
  <c r="F10" i="5"/>
  <c r="F11" i="5"/>
  <c r="G11" i="5" s="1"/>
  <c r="F12" i="5"/>
  <c r="G12" i="5" s="1"/>
  <c r="E2" i="5"/>
  <c r="I2" i="5" s="1"/>
  <c r="E3" i="5"/>
  <c r="I3" i="5" s="1"/>
  <c r="E4" i="5"/>
  <c r="I4" i="5" s="1"/>
  <c r="E5" i="5"/>
  <c r="I5" i="5" s="1"/>
  <c r="E6" i="5"/>
  <c r="I6" i="5" s="1"/>
  <c r="E7" i="5"/>
  <c r="E8" i="5"/>
  <c r="E9" i="5"/>
  <c r="I9" i="5" s="1"/>
  <c r="E10" i="5"/>
  <c r="I10" i="5" s="1"/>
  <c r="E11" i="5"/>
  <c r="I11" i="5" s="1"/>
  <c r="E12" i="5"/>
  <c r="I12" i="5" s="1"/>
  <c r="H2" i="5"/>
  <c r="H3" i="5"/>
  <c r="H4" i="5"/>
  <c r="H5" i="5"/>
  <c r="H6" i="5"/>
  <c r="H7" i="5"/>
  <c r="H8" i="5"/>
  <c r="H9" i="5"/>
  <c r="H10" i="5"/>
  <c r="H11" i="5"/>
  <c r="H12" i="5"/>
  <c r="I3" i="1" l="1"/>
  <c r="I4" i="1"/>
  <c r="I8" i="5"/>
  <c r="I7" i="5"/>
  <c r="E2" i="3"/>
  <c r="F2" i="3" s="1"/>
  <c r="G2" i="3"/>
  <c r="H2" i="3" l="1"/>
  <c r="J2" i="3" s="1"/>
  <c r="K2" i="1"/>
</calcChain>
</file>

<file path=xl/sharedStrings.xml><?xml version="1.0" encoding="utf-8"?>
<sst xmlns="http://schemas.openxmlformats.org/spreadsheetml/2006/main" count="124" uniqueCount="58">
  <si>
    <t>Name</t>
  </si>
  <si>
    <t>Type</t>
  </si>
  <si>
    <t>Default Value</t>
  </si>
  <si>
    <t>Description</t>
  </si>
  <si>
    <t>Json Schema</t>
  </si>
  <si>
    <t>Cname</t>
  </si>
  <si>
    <t>Ctype</t>
  </si>
  <si>
    <t>Cdescription</t>
  </si>
  <si>
    <t>Cdefault</t>
  </si>
  <si>
    <t>Decimal</t>
  </si>
  <si>
    <t>not set</t>
  </si>
  <si>
    <t>String</t>
  </si>
  <si>
    <t>trigger</t>
  </si>
  <si>
    <t>The event to trigger when attacking.</t>
  </si>
  <si>
    <t>cooldown_range</t>
  </si>
  <si>
    <t>[10.0, 20.0]</t>
  </si>
  <si>
    <t>The minimum and maximum cooldown time-range in seconds between each attempted ram attack.</t>
  </si>
  <si>
    <t>attack</t>
  </si>
  <si>
    <t>0.3</t>
  </si>
  <si>
    <t>Amount of exhaustion applied when attacking.</t>
  </si>
  <si>
    <t>damage</t>
  </si>
  <si>
    <t>0.1</t>
  </si>
  <si>
    <t>Amount of exhaustion applied when taking damage.</t>
  </si>
  <si>
    <t>heal</t>
  </si>
  <si>
    <t>Amount of exhaustion applied when healed through food regeneration.</t>
  </si>
  <si>
    <t>jump</t>
  </si>
  <si>
    <t>0.2</t>
  </si>
  <si>
    <t>Amount of exhaustion applied when jumping.</t>
  </si>
  <si>
    <t>mine</t>
  </si>
  <si>
    <t>0.025</t>
  </si>
  <si>
    <t>Amount of exhaustion applied when mining.</t>
  </si>
  <si>
    <t>sprint</t>
  </si>
  <si>
    <t>0.01</t>
  </si>
  <si>
    <t>Amount of exhaustion applied when sprinting.</t>
  </si>
  <si>
    <t>sprint_jump</t>
  </si>
  <si>
    <t>0.8</t>
  </si>
  <si>
    <t>Amount of exhaustion applied when sprint jumping.</t>
  </si>
  <si>
    <t>swim</t>
  </si>
  <si>
    <t>0.015</t>
  </si>
  <si>
    <t>Amount of exhaustion applied when swimming.</t>
  </si>
  <si>
    <t>walk</t>
  </si>
  <si>
    <t>Amount of exhaustion applied when walking.</t>
  </si>
  <si>
    <t xml:space="preserve">    "$NAME$": {
      "title": "$TITLE$",
      "type": "$TYPE$",
      "default": $VALUE$,
      "description": "$DESCRIPTION$"
    },</t>
  </si>
  <si>
    <t>Range [a, b]</t>
  </si>
  <si>
    <t>0.5</t>
  </si>
  <si>
    <t>active_speed</t>
  </si>
  <si>
    <t>The speed this entity moves when this behavior has started or while it's active.</t>
  </si>
  <si>
    <t>continue_charge_threshold_time</t>
  </si>
  <si>
    <t>If the dragon is outside the "target_zone" for longer than "continue_charge_threshold_time" seconds, the charge is canceled.</t>
  </si>
  <si>
    <t>flight_speed</t>
  </si>
  <si>
    <t>0.6</t>
  </si>
  <si>
    <t>The speed this entity moves while this behavior is not active.</t>
  </si>
  <si>
    <t>target_zone</t>
  </si>
  <si>
    <t>[10, 150]</t>
  </si>
  <si>
    <t>Minimum and maximum distance, from the target, this entity can use this behavior.</t>
  </si>
  <si>
    <t>turn_speed</t>
  </si>
  <si>
    <t>0.7</t>
  </si>
  <si>
    <t>The speed at which this entity turns while using this behavior.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</si>
</sst>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Times New Roman"/>
      <family val="1"/>
    </font>
    <font>
      <sz val="11"/>
      <color rgb="FFE6E6E6"/>
      <name val="Segoe UI"/>
      <family val="2"/>
    </font>
    <font>
      <i/>
      <sz val="11"/>
      <color rgb="FFE6E6E6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171717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 style="medium">
        <color rgb="FF000000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0" fillId="0" borderId="0" xfId="0" applyNumberFormat="1"/>
    <xf numFmtId="0" fontId="2" fillId="0" borderId="2" xfId="0" applyFont="1" applyBorder="1" applyAlignment="1">
      <alignment vertical="center" wrapText="1"/>
    </xf>
    <xf numFmtId="0" fontId="3" fillId="2" borderId="3" xfId="0" applyFont="1" applyFill="1" applyBorder="1" applyAlignment="1">
      <alignment horizontal="left" vertical="top" wrapText="1"/>
    </xf>
    <xf numFmtId="0" fontId="4" fillId="2" borderId="3" xfId="0" applyFont="1" applyFill="1" applyBorder="1" applyAlignment="1">
      <alignment horizontal="left" vertical="top" wrapText="1"/>
    </xf>
  </cellXfs>
  <cellStyles count="1">
    <cellStyle name="Normal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446C57-C8B9-4AD3-B032-91AD9E294BCC}" name="Table13" displayName="Table13" ref="A1:H10" totalsRowShown="0">
  <autoFilter ref="A1:H10" xr:uid="{439841C6-9CB3-4077-BD6A-80332BFA4FFA}"/>
  <sortState xmlns:xlrd2="http://schemas.microsoft.com/office/spreadsheetml/2017/richdata2" ref="A2:H2">
    <sortCondition ref="A1:A2"/>
  </sortState>
  <tableColumns count="8">
    <tableColumn id="1" xr3:uid="{CAE141B7-8304-420A-A1B3-D63EC10598B7}" name="Name"/>
    <tableColumn id="2" xr3:uid="{167B2AA6-D474-4333-A79A-8101562054ED}" name="Type"/>
    <tableColumn id="4" xr3:uid="{6E4D3870-543A-46B0-8EAE-220562CD8B4B}" name="Description"/>
    <tableColumn id="8" xr3:uid="{79476936-18F0-4A34-B22A-2CD82F63DCF4}" name="Cname"/>
    <tableColumn id="7" xr3:uid="{C2947D3C-98D6-4813-88A5-57032EB3B924}" name="Ctype">
      <calculatedColumnFormula>SUBSTITUTE(SUBSTITUTE(LOWER(Table13[[#This Row],[Type]]),"decimal", "number"), "list", "array")</calculatedColumnFormula>
    </tableColumn>
    <tableColumn id="9" xr3:uid="{785E0F0E-DAFE-4F6C-B94A-A2646AEA314A}" name="Cdefault" dataDxfId="6">
      <calculatedColumnFormula>IF(Table13[[#This Row],[Ctype]]="string", CHAR(34) &amp;#REF! &amp; CHAR(34), LOWER(#REF!))</calculatedColumnFormula>
    </tableColumn>
    <tableColumn id="6" xr3:uid="{38905391-079D-4DC7-95B4-296D43693D9F}" name="Cdescription">
      <calculatedColumnFormula>SUBSTITUTE(Table13[[#This Row],[Description]], CHAR(34), "\" &amp; CHAR(34))</calculatedColumnFormula>
    </tableColumn>
    <tableColumn id="5" xr3:uid="{ED53171A-0430-4004-8D17-583F8F163190}" name="Json Schema" dataDxfId="5">
      <calculatedColumnFormula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4116B3-0007-4D20-9286-68F7BD230BDB}" name="Table1" displayName="Table1" ref="A1:I6" totalsRowShown="0">
  <autoFilter ref="A1:I6" xr:uid="{439841C6-9CB3-4077-BD6A-80332BFA4FFA}"/>
  <sortState xmlns:xlrd2="http://schemas.microsoft.com/office/spreadsheetml/2017/richdata2" ref="A2:I6">
    <sortCondition ref="A1:A6"/>
  </sortState>
  <tableColumns count="9">
    <tableColumn id="1" xr3:uid="{69009C7E-E532-4DCD-BC85-F6C8A2BF783F}" name="Name"/>
    <tableColumn id="2" xr3:uid="{51C9B8E8-45FE-4EED-BB0F-05ACF960DCA5}" name="Type"/>
    <tableColumn id="3" xr3:uid="{9BEDF3B8-DD6A-493D-87E4-86F18290C962}" name="Default Value"/>
    <tableColumn id="4" xr3:uid="{460B714C-F886-43D4-BEF5-222E6519FA82}" name="Description"/>
    <tableColumn id="8" xr3:uid="{F7F4D22B-89FA-4BF7-9CD7-3493546FB499}" name="Cname">
      <calculatedColumnFormula>Table1[[#This Row],[Name]]</calculatedColumnFormula>
    </tableColumn>
    <tableColumn id="7" xr3:uid="{5BCDDD8B-3993-4CA1-9029-A7034EC6459C}" name="Ctype">
      <calculatedColumnFormula>SUBSTITUTE(SUBSTITUTE(LOWER(Table1[[#This Row],[Type]]),"decimal", "number"), "list", "array")</calculatedColumnFormula>
    </tableColumn>
    <tableColumn id="9" xr3:uid="{33B88AA2-B199-459B-811C-ED986D928870}" name="Cdefault" dataDxfId="4">
      <calculatedColumnFormula>IF(Table1[[#This Row],[Ctype]]="string", CHAR(34) &amp; Table1[[#This Row],[Default Value]] &amp; CHAR(34), LOWER(Table1[[#This Row],[Default Value]]))</calculatedColumnFormula>
    </tableColumn>
    <tableColumn id="6" xr3:uid="{367BB0CD-8D97-419C-A3FC-663E45A6296E}" name="Cdescription">
      <calculatedColumnFormula>SUBSTITUTE(Table1[[#This Row],[Description]], CHAR(34), "\" &amp; CHAR(34))</calculatedColumnFormula>
    </tableColumn>
    <tableColumn id="5" xr3:uid="{203405C4-B9D5-43A2-B6BA-2A1280C3378D}" name="Json Schema" dataDxfId="3">
      <calculatedColumnFormula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4AF616-376F-47F0-AD2D-2C11C0D4B756}" name="Table14" displayName="Table14" ref="A1:I12" totalsRowShown="0">
  <autoFilter ref="A1:I12" xr:uid="{439841C6-9CB3-4077-BD6A-80332BFA4FFA}"/>
  <sortState xmlns:xlrd2="http://schemas.microsoft.com/office/spreadsheetml/2017/richdata2" ref="A2:I2">
    <sortCondition ref="A1:A5"/>
  </sortState>
  <tableColumns count="9">
    <tableColumn id="1" xr3:uid="{44A08CF4-8AEF-46C8-8501-5F2D1EB72A8E}" name="Name"/>
    <tableColumn id="2" xr3:uid="{6393EEBD-8CD4-4990-BA87-C270575B6882}" name="Default Value"/>
    <tableColumn id="3" xr3:uid="{6EED793A-2AA3-47E0-89BE-95855BB90671}" name="Type"/>
    <tableColumn id="4" xr3:uid="{3D93FF74-FF63-4DF7-9805-8DE93A92BF74}" name="Description"/>
    <tableColumn id="8" xr3:uid="{FAB00FDC-BE26-4D71-8038-D2FBEFFEF504}" name="Cname">
      <calculatedColumnFormula>Table14[[#This Row],[Name]]</calculatedColumnFormula>
    </tableColumn>
    <tableColumn id="7" xr3:uid="{7DB1CA88-F1ED-42F3-AE40-05FC1B746E52}" name="Ctype" dataDxfId="2">
      <calculatedColumnFormula>SUBSTITUTE(SUBSTITUTE(LOWER(Table14[[#This Row],[Type]]),"decimal", "number"), "list", "array")</calculatedColumnFormula>
    </tableColumn>
    <tableColumn id="9" xr3:uid="{904BCF27-C51A-47B7-B375-FF536F5BDAF2}" name="Cdefault" dataDxfId="1">
      <calculatedColumnFormula>IF(Table14[[#This Row],[Ctype]]="string", CHAR(34) &amp; Table14[[#This Row],[Default Value]] &amp; CHAR(34), LOWER(Table14[[#This Row],[Default Value]]))</calculatedColumnFormula>
    </tableColumn>
    <tableColumn id="6" xr3:uid="{DB7176BC-4592-4253-B8F9-38D43BA3D906}" name="Cdescription">
      <calculatedColumnFormula>SUBSTITUTE(Table14[[#This Row],[Description]], CHAR(34), "\" &amp; CHAR(34))</calculatedColumnFormula>
    </tableColumn>
    <tableColumn id="5" xr3:uid="{D37B5709-20AC-4724-AAFB-21732044F4BB}" name="Json Schema" dataDxfId="0">
      <calculatedColumnFormula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5DFF6-A942-43EC-BF3A-8A01DF4D4042}">
  <sheetPr codeName="Sheet3"/>
  <dimension ref="A1:J11"/>
  <sheetViews>
    <sheetView workbookViewId="0">
      <selection activeCell="M3" sqref="M3"/>
    </sheetView>
  </sheetViews>
  <sheetFormatPr defaultRowHeight="15" x14ac:dyDescent="0.25"/>
  <cols>
    <col min="1" max="1" width="16.140625" bestFit="1" customWidth="1"/>
    <col min="2" max="2" width="8.28515625" bestFit="1" customWidth="1"/>
    <col min="3" max="3" width="65.7109375" bestFit="1" customWidth="1"/>
    <col min="4" max="4" width="18.140625" hidden="1" customWidth="1"/>
    <col min="5" max="6" width="8.42578125" hidden="1" customWidth="1"/>
    <col min="7" max="7" width="15.140625" hidden="1" customWidth="1"/>
    <col min="8" max="8" width="14.28515625" customWidth="1"/>
  </cols>
  <sheetData>
    <row r="1" spans="1:10" ht="52.5" customHeight="1" thickBot="1" x14ac:dyDescent="0.3">
      <c r="A1" t="s">
        <v>0</v>
      </c>
      <c r="B1" t="s">
        <v>1</v>
      </c>
      <c r="C1" t="s">
        <v>3</v>
      </c>
      <c r="D1" t="s">
        <v>5</v>
      </c>
      <c r="E1" t="s">
        <v>6</v>
      </c>
      <c r="F1" t="s">
        <v>8</v>
      </c>
      <c r="G1" t="s">
        <v>7</v>
      </c>
      <c r="H1" t="s">
        <v>4</v>
      </c>
    </row>
    <row r="2" spans="1:10" ht="46.5" thickTop="1" thickBot="1" x14ac:dyDescent="0.3">
      <c r="A2" s="4" t="s">
        <v>17</v>
      </c>
      <c r="B2" s="4" t="s">
        <v>9</v>
      </c>
      <c r="C2" s="4" t="s">
        <v>18</v>
      </c>
      <c r="D2" s="4" t="s">
        <v>19</v>
      </c>
      <c r="E2" t="str">
        <f>SUBSTITUTE(SUBSTITUTE(LOWER(Table13[[#This Row],[Type]]),"decimal", "number"), "list", "array")</f>
        <v>number</v>
      </c>
      <c r="F2" s="3" t="e">
        <f>IF(Table13[[#This Row],[Ctype]]="string", CHAR(34) &amp;#REF! &amp; CHAR(34), LOWER(#REF!))</f>
        <v>#REF!</v>
      </c>
      <c r="G2" t="str">
        <f>SUBSTITUTE(Table13[[#This Row],[Description]], CHAR(34), "\" &amp; CHAR(34))</f>
        <v>0.3</v>
      </c>
      <c r="H2" s="3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attacking.": {
      "title": "attack",
      "type": "number",
      "default": ,
      "description": "0.3"
    },</v>
      </c>
      <c r="J2" s="2" t="str">
        <f>_xlfn.CONCAT(Table13[Json Schema])</f>
        <v xml:space="preserve">    "Amount of exhaustion applied when attacking.": {
      "title": "attack",
      "type": "number",
      "default": ,
      "description": "0.3"
    },    "Amount of exhaustion applied when taking damage.": {
      "title": "damage",
      "type": "number",
      "default": ,
      "description": "0.1"
    },    "Amount of exhaustion applied when healed through food regeneration.": {
      "title": "heal",
      "type": "number",
      "default": ,
      "description": "3"
    },    "Amount of exhaustion applied when jumping.": {
      "title": "jump",
      "type": "number",
      "default": ,
      "description": "0.2"
    },    "Amount of exhaustion applied when mining.": {
      "title": "mine",
      "type": "number",
      "default": ,
      "description": "0.025"
    },    "Amount of exhaustion applied when sprinting.": {
      "title": "sprint",
      "type": "number",
      "default": ,
      "description": "0.01"
    },    "Amount of exhaustion applied when sprint jumping.": {
      "title": "sprint jump",
      "type": "number",
      "default": ,
      "description": "0.8"
    },    "Amount of exhaustion applied when swimming.": {
      "title": "swim",
      "type": "number",
      "default": ,
      "description": "0.015"
    },    "Amount of exhaustion applied when walking.": {
      "title": "walk",
      "type": "number",
      "default": ,
      "description": "0.01"
    },</v>
      </c>
    </row>
    <row r="3" spans="1:10" ht="61.5" thickTop="1" thickBot="1" x14ac:dyDescent="0.3">
      <c r="A3" s="4" t="s">
        <v>20</v>
      </c>
      <c r="B3" s="4" t="s">
        <v>9</v>
      </c>
      <c r="C3" s="4" t="s">
        <v>21</v>
      </c>
      <c r="D3" s="4" t="s">
        <v>22</v>
      </c>
      <c r="E3" t="str">
        <f>SUBSTITUTE(SUBSTITUTE(LOWER(Table13[[#This Row],[Type]]),"decimal", "number"), "list", "array")</f>
        <v>number</v>
      </c>
      <c r="F3" s="3" t="e">
        <f>IF(Table13[[#This Row],[Ctype]]="string", CHAR(34) &amp;#REF! &amp; CHAR(34), LOWER(#REF!))</f>
        <v>#REF!</v>
      </c>
      <c r="G3" t="str">
        <f>SUBSTITUTE(Table13[[#This Row],[Description]], CHAR(34), "\" &amp; CHAR(34))</f>
        <v>0.1</v>
      </c>
      <c r="H3" s="3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taking damage.": {
      "title": "damage",
      "type": "number",
      "default": ,
      "description": "0.1"
    },</v>
      </c>
    </row>
    <row r="4" spans="1:10" ht="76.5" thickTop="1" thickBot="1" x14ac:dyDescent="0.3">
      <c r="A4" s="4" t="s">
        <v>23</v>
      </c>
      <c r="B4" s="4" t="s">
        <v>9</v>
      </c>
      <c r="C4" s="4">
        <v>3</v>
      </c>
      <c r="D4" s="4" t="s">
        <v>24</v>
      </c>
      <c r="E4" t="str">
        <f>SUBSTITUTE(SUBSTITUTE(LOWER(Table13[[#This Row],[Type]]),"decimal", "number"), "list", "array")</f>
        <v>number</v>
      </c>
      <c r="F4" s="3" t="e">
        <f>IF(Table13[[#This Row],[Ctype]]="string", CHAR(34) &amp;#REF! &amp; CHAR(34), LOWER(#REF!))</f>
        <v>#REF!</v>
      </c>
      <c r="G4" t="str">
        <f>SUBSTITUTE(Table13[[#This Row],[Description]], CHAR(34), "\" &amp; CHAR(34))</f>
        <v>3</v>
      </c>
      <c r="H4" s="3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healed through food regeneration.": {
      "title": "heal",
      "type": "number",
      "default": ,
      "description": "3"
    },</v>
      </c>
    </row>
    <row r="5" spans="1:10" ht="46.5" thickTop="1" thickBot="1" x14ac:dyDescent="0.3">
      <c r="A5" s="4" t="s">
        <v>25</v>
      </c>
      <c r="B5" s="4" t="s">
        <v>9</v>
      </c>
      <c r="C5" s="4" t="s">
        <v>26</v>
      </c>
      <c r="D5" s="4" t="s">
        <v>27</v>
      </c>
      <c r="E5" t="str">
        <f>SUBSTITUTE(SUBSTITUTE(LOWER(Table13[[#This Row],[Type]]),"decimal", "number"), "list", "array")</f>
        <v>number</v>
      </c>
      <c r="F5" s="3" t="e">
        <f>IF(Table13[[#This Row],[Ctype]]="string", CHAR(34) &amp;#REF! &amp; CHAR(34), LOWER(#REF!))</f>
        <v>#REF!</v>
      </c>
      <c r="G5" t="str">
        <f>SUBSTITUTE(Table13[[#This Row],[Description]], CHAR(34), "\" &amp; CHAR(34))</f>
        <v>0.2</v>
      </c>
      <c r="H5" s="3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jumping.": {
      "title": "jump",
      "type": "number",
      "default": ,
      "description": "0.2"
    },</v>
      </c>
    </row>
    <row r="6" spans="1:10" ht="46.5" thickTop="1" thickBot="1" x14ac:dyDescent="0.3">
      <c r="A6" s="4" t="s">
        <v>28</v>
      </c>
      <c r="B6" s="4" t="s">
        <v>9</v>
      </c>
      <c r="C6" s="4" t="s">
        <v>29</v>
      </c>
      <c r="D6" s="4" t="s">
        <v>30</v>
      </c>
      <c r="E6" t="str">
        <f>SUBSTITUTE(SUBSTITUTE(LOWER(Table13[[#This Row],[Type]]),"decimal", "number"), "list", "array")</f>
        <v>number</v>
      </c>
      <c r="F6" s="3" t="e">
        <f>IF(Table13[[#This Row],[Ctype]]="string", CHAR(34) &amp;#REF! &amp; CHAR(34), LOWER(#REF!))</f>
        <v>#REF!</v>
      </c>
      <c r="G6" t="str">
        <f>SUBSTITUTE(Table13[[#This Row],[Description]], CHAR(34), "\" &amp; CHAR(34))</f>
        <v>0.025</v>
      </c>
      <c r="H6" s="3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mining.": {
      "title": "mine",
      "type": "number",
      "default": ,
      "description": "0.025"
    },</v>
      </c>
    </row>
    <row r="7" spans="1:10" ht="46.5" thickTop="1" thickBot="1" x14ac:dyDescent="0.3">
      <c r="A7" s="4" t="s">
        <v>31</v>
      </c>
      <c r="B7" s="4" t="s">
        <v>9</v>
      </c>
      <c r="C7" s="4" t="s">
        <v>32</v>
      </c>
      <c r="D7" s="4" t="s">
        <v>33</v>
      </c>
      <c r="E7" t="str">
        <f>SUBSTITUTE(SUBSTITUTE(LOWER(Table13[[#This Row],[Type]]),"decimal", "number"), "list", "array")</f>
        <v>number</v>
      </c>
      <c r="F7" s="3" t="e">
        <f>IF(Table13[[#This Row],[Ctype]]="string", CHAR(34) &amp;#REF! &amp; CHAR(34), LOWER(#REF!))</f>
        <v>#REF!</v>
      </c>
      <c r="G7" t="str">
        <f>SUBSTITUTE(Table13[[#This Row],[Description]], CHAR(34), "\" &amp; CHAR(34))</f>
        <v>0.01</v>
      </c>
      <c r="H7" s="3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sprinting.": {
      "title": "sprint",
      "type": "number",
      "default": ,
      "description": "0.01"
    },</v>
      </c>
    </row>
    <row r="8" spans="1:10" ht="61.5" thickTop="1" thickBot="1" x14ac:dyDescent="0.3">
      <c r="A8" s="4" t="s">
        <v>34</v>
      </c>
      <c r="B8" s="4" t="s">
        <v>9</v>
      </c>
      <c r="C8" s="4" t="s">
        <v>35</v>
      </c>
      <c r="D8" s="4" t="s">
        <v>36</v>
      </c>
      <c r="E8" t="str">
        <f>SUBSTITUTE(SUBSTITUTE(LOWER(Table13[[#This Row],[Type]]),"decimal", "number"), "list", "array")</f>
        <v>number</v>
      </c>
      <c r="F8" s="3" t="e">
        <f>IF(Table13[[#This Row],[Ctype]]="string", CHAR(34) &amp;#REF! &amp; CHAR(34), LOWER(#REF!))</f>
        <v>#REF!</v>
      </c>
      <c r="G8" t="str">
        <f>SUBSTITUTE(Table13[[#This Row],[Description]], CHAR(34), "\" &amp; CHAR(34))</f>
        <v>0.8</v>
      </c>
      <c r="H8" s="3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sprint jumping.": {
      "title": "sprint jump",
      "type": "number",
      "default": ,
      "description": "0.8"
    },</v>
      </c>
    </row>
    <row r="9" spans="1:10" ht="46.5" thickTop="1" thickBot="1" x14ac:dyDescent="0.3">
      <c r="A9" s="4" t="s">
        <v>37</v>
      </c>
      <c r="B9" s="4" t="s">
        <v>9</v>
      </c>
      <c r="C9" s="4" t="s">
        <v>38</v>
      </c>
      <c r="D9" s="4" t="s">
        <v>39</v>
      </c>
      <c r="E9" t="str">
        <f>SUBSTITUTE(SUBSTITUTE(LOWER(Table13[[#This Row],[Type]]),"decimal", "number"), "list", "array")</f>
        <v>number</v>
      </c>
      <c r="F9" s="3" t="e">
        <f>IF(Table13[[#This Row],[Ctype]]="string", CHAR(34) &amp;#REF! &amp; CHAR(34), LOWER(#REF!))</f>
        <v>#REF!</v>
      </c>
      <c r="G9" t="str">
        <f>SUBSTITUTE(Table13[[#This Row],[Description]], CHAR(34), "\" &amp; CHAR(34))</f>
        <v>0.015</v>
      </c>
      <c r="H9" s="3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swimming.": {
      "title": "swim",
      "type": "number",
      "default": ,
      "description": "0.015"
    },</v>
      </c>
    </row>
    <row r="10" spans="1:10" ht="46.5" thickTop="1" thickBot="1" x14ac:dyDescent="0.3">
      <c r="A10" s="4" t="s">
        <v>40</v>
      </c>
      <c r="B10" s="4" t="s">
        <v>9</v>
      </c>
      <c r="C10" s="4" t="s">
        <v>32</v>
      </c>
      <c r="D10" s="4" t="s">
        <v>41</v>
      </c>
      <c r="E10" t="str">
        <f>SUBSTITUTE(SUBSTITUTE(LOWER(Table13[[#This Row],[Type]]),"decimal", "number"), "list", "array")</f>
        <v>number</v>
      </c>
      <c r="F10" s="3" t="e">
        <f>IF(Table13[[#This Row],[Ctype]]="string", CHAR(34) &amp;#REF! &amp; CHAR(34), LOWER(#REF!))</f>
        <v>#REF!</v>
      </c>
      <c r="G10" t="str">
        <f>SUBSTITUTE(Table13[[#This Row],[Description]], CHAR(34), "\" &amp; CHAR(34))</f>
        <v>0.01</v>
      </c>
      <c r="H10" s="3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walking.": {
      "title": "walk",
      "type": "number",
      "default": ,
      "description": "0.01"
    },</v>
      </c>
    </row>
    <row r="11" spans="1:10" ht="15.75" thickTop="1" x14ac:dyDescent="0.25"/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2_Click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Macro3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D6657-4584-43E8-87D9-83BF6B68546D}">
  <sheetPr codeName="Sheet1"/>
  <dimension ref="A1:K7"/>
  <sheetViews>
    <sheetView tabSelected="1" workbookViewId="0">
      <selection activeCell="A2" sqref="A2:D6"/>
    </sheetView>
  </sheetViews>
  <sheetFormatPr defaultRowHeight="15" x14ac:dyDescent="0.25"/>
  <cols>
    <col min="1" max="1" width="16.140625" bestFit="1" customWidth="1"/>
    <col min="2" max="2" width="8.28515625" bestFit="1" customWidth="1"/>
    <col min="3" max="3" width="15.28515625" customWidth="1"/>
    <col min="4" max="4" width="65.7109375" bestFit="1" customWidth="1"/>
    <col min="5" max="5" width="18.140625" hidden="1" customWidth="1"/>
    <col min="6" max="7" width="8.42578125" hidden="1" customWidth="1"/>
    <col min="8" max="8" width="15.140625" hidden="1" customWidth="1"/>
    <col min="9" max="9" width="14.28515625" customWidth="1"/>
  </cols>
  <sheetData>
    <row r="1" spans="1:11" ht="52.5" customHeight="1" thickBot="1" x14ac:dyDescent="0.3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6</v>
      </c>
      <c r="G1" t="s">
        <v>8</v>
      </c>
      <c r="H1" t="s">
        <v>7</v>
      </c>
      <c r="I1" t="s">
        <v>4</v>
      </c>
    </row>
    <row r="2" spans="1:11" ht="31.5" thickTop="1" thickBot="1" x14ac:dyDescent="0.3">
      <c r="A2" s="4" t="s">
        <v>45</v>
      </c>
      <c r="B2" s="4" t="s">
        <v>9</v>
      </c>
      <c r="C2" s="4">
        <v>1</v>
      </c>
      <c r="D2" s="4" t="s">
        <v>46</v>
      </c>
      <c r="E2" t="str">
        <f>Table1[[#This Row],[Name]]</f>
        <v>active_speed</v>
      </c>
      <c r="F2" t="str">
        <f>SUBSTITUTE(SUBSTITUTE(LOWER(Table1[[#This Row],[Type]]),"decimal", "number"), "list", "array")</f>
        <v>number</v>
      </c>
      <c r="G2" s="3" t="str">
        <f>IF(Table1[[#This Row],[Ctype]]="string", CHAR(34) &amp; Table1[[#This Row],[Default Value]] &amp; CHAR(34), LOWER(Table1[[#This Row],[Default Value]]))</f>
        <v>1</v>
      </c>
      <c r="H2" t="str">
        <f>SUBSTITUTE(Table1[[#This Row],[Description]], CHAR(34), "\" &amp; CHAR(34))</f>
        <v>The speed this entity moves when this behavior has started or while it's active.</v>
      </c>
      <c r="I2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"active_speed": {
      "title": "active speed",
      "type": "number",
      "default": 1,
      "description": "The speed this entity moves when this behavior has started or while it's active."
    },</v>
      </c>
      <c r="K2" s="2" t="str">
        <f>_xlfn.CONCAT(Table1[Json Schema])</f>
        <v xml:space="preserve">    "active_speed": {
      "title": "active speed",
      "type": "number",
      "default": 1,
      "description": "The speed this entity moves when this behavior has started or while it's active."
    },    "continue_charge_threshold_time": {
      "title": "continue charge threshold time",
      "type": "number",
      "default": 0.5,
      "description": "If the dragon is outside the \"target_zone\" for longer than \"continue_charge_threshold_time\" seconds, the charge is canceled."
    },    "flight_speed": {
      "title": "flight speed",
      "type": "number",
      "default": 0.6,
      "description": "The speed this entity moves while this behavior is not active."
    },    "target_zone": {
      "title": "target zone",
      "type": "range [a, b]",
      "default": [10, 150],
      "description": "Minimum and maximum distance, from the target, this entity can use this behavior."
    },    "turn_speed": {
      "title": "turn speed",
      "type": "number",
      "default": 0.7,
      "description": "The speed at which this entity turns while using this behavior."
    },</v>
      </c>
    </row>
    <row r="3" spans="1:11" ht="31.5" thickTop="1" thickBot="1" x14ac:dyDescent="0.3">
      <c r="A3" s="4" t="s">
        <v>47</v>
      </c>
      <c r="B3" s="4" t="s">
        <v>9</v>
      </c>
      <c r="C3" s="4" t="s">
        <v>44</v>
      </c>
      <c r="D3" s="4" t="s">
        <v>48</v>
      </c>
      <c r="E3" t="str">
        <f>Table1[[#This Row],[Name]]</f>
        <v>continue_charge_threshold_time</v>
      </c>
      <c r="F3" t="str">
        <f>SUBSTITUTE(SUBSTITUTE(LOWER(Table1[[#This Row],[Type]]),"decimal", "number"), "list", "array")</f>
        <v>number</v>
      </c>
      <c r="G3" s="3" t="str">
        <f>IF(Table1[[#This Row],[Ctype]]="string", CHAR(34) &amp; Table1[[#This Row],[Default Value]] &amp; CHAR(34), LOWER(Table1[[#This Row],[Default Value]]))</f>
        <v>0.5</v>
      </c>
      <c r="H3" t="str">
        <f>SUBSTITUTE(Table1[[#This Row],[Description]], CHAR(34), "\" &amp; CHAR(34))</f>
        <v>If the dragon is outside the \"target_zone\" for longer than \"continue_charge_threshold_time\" seconds, the charge is canceled.</v>
      </c>
      <c r="I3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"continue_charge_threshold_time": {
      "title": "continue charge threshold time",
      "type": "number",
      "default": 0.5,
      "description": "If the dragon is outside the \"target_zone\" for longer than \"continue_charge_threshold_time\" seconds, the charge is canceled."
    },</v>
      </c>
    </row>
    <row r="4" spans="1:11" ht="16.5" thickTop="1" thickBot="1" x14ac:dyDescent="0.3">
      <c r="A4" s="4" t="s">
        <v>49</v>
      </c>
      <c r="B4" s="4" t="s">
        <v>9</v>
      </c>
      <c r="C4" s="4" t="s">
        <v>50</v>
      </c>
      <c r="D4" s="4" t="s">
        <v>51</v>
      </c>
      <c r="E4" t="str">
        <f>Table1[[#This Row],[Name]]</f>
        <v>flight_speed</v>
      </c>
      <c r="F4" t="str">
        <f>SUBSTITUTE(SUBSTITUTE(LOWER(Table1[[#This Row],[Type]]),"decimal", "number"), "list", "array")</f>
        <v>number</v>
      </c>
      <c r="G4" s="3" t="str">
        <f>IF(Table1[[#This Row],[Ctype]]="string", CHAR(34) &amp; Table1[[#This Row],[Default Value]] &amp; CHAR(34), LOWER(Table1[[#This Row],[Default Value]]))</f>
        <v>0.6</v>
      </c>
      <c r="H4" t="str">
        <f>SUBSTITUTE(Table1[[#This Row],[Description]], CHAR(34), "\" &amp; CHAR(34))</f>
        <v>The speed this entity moves while this behavior is not active.</v>
      </c>
      <c r="I4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"flight_speed": {
      "title": "flight speed",
      "type": "number",
      "default": 0.6,
      "description": "The speed this entity moves while this behavior is not active."
    },</v>
      </c>
    </row>
    <row r="5" spans="1:11" ht="31.5" thickTop="1" thickBot="1" x14ac:dyDescent="0.3">
      <c r="A5" s="4" t="s">
        <v>52</v>
      </c>
      <c r="B5" s="4" t="s">
        <v>43</v>
      </c>
      <c r="C5" s="4" t="s">
        <v>53</v>
      </c>
      <c r="D5" s="4" t="s">
        <v>54</v>
      </c>
      <c r="E5" t="str">
        <f>Table1[[#This Row],[Name]]</f>
        <v>target_zone</v>
      </c>
      <c r="F5" t="str">
        <f>SUBSTITUTE(SUBSTITUTE(LOWER(Table1[[#This Row],[Type]]),"decimal", "number"), "list", "array")</f>
        <v>range [a, b]</v>
      </c>
      <c r="G5" s="3" t="str">
        <f>IF(Table1[[#This Row],[Ctype]]="string", CHAR(34) &amp; Table1[[#This Row],[Default Value]] &amp; CHAR(34), LOWER(Table1[[#This Row],[Default Value]]))</f>
        <v>[10, 150]</v>
      </c>
      <c r="H5" t="str">
        <f>SUBSTITUTE(Table1[[#This Row],[Description]], CHAR(34), "\" &amp; CHAR(34))</f>
        <v>Minimum and maximum distance, from the target, this entity can use this behavior.</v>
      </c>
      <c r="I5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"target_zone": {
      "title": "target zone",
      "type": "range [a, b]",
      "default": [10, 150],
      "description": "Minimum and maximum distance, from the target, this entity can use this behavior."
    },</v>
      </c>
    </row>
    <row r="6" spans="1:11" ht="16.5" thickTop="1" thickBot="1" x14ac:dyDescent="0.3">
      <c r="A6" s="4" t="s">
        <v>55</v>
      </c>
      <c r="B6" s="4" t="s">
        <v>9</v>
      </c>
      <c r="C6" s="4" t="s">
        <v>56</v>
      </c>
      <c r="D6" s="4" t="s">
        <v>57</v>
      </c>
      <c r="E6" t="str">
        <f>Table1[[#This Row],[Name]]</f>
        <v>turn_speed</v>
      </c>
      <c r="F6" t="str">
        <f>SUBSTITUTE(SUBSTITUTE(LOWER(Table1[[#This Row],[Type]]),"decimal", "number"), "list", "array")</f>
        <v>number</v>
      </c>
      <c r="G6" s="3" t="str">
        <f>IF(Table1[[#This Row],[Ctype]]="string", CHAR(34) &amp; Table1[[#This Row],[Default Value]] &amp; CHAR(34), LOWER(Table1[[#This Row],[Default Value]]))</f>
        <v>0.7</v>
      </c>
      <c r="H6" t="str">
        <f>SUBSTITUTE(Table1[[#This Row],[Description]], CHAR(34), "\" &amp; CHAR(34))</f>
        <v>The speed at which this entity turns while using this behavior.</v>
      </c>
      <c r="I6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"turn_speed": {
      "title": "turn speed",
      "type": "number",
      "default": 0.7,
      "description": "The speed at which this entity turns while using this behavior."
    },</v>
      </c>
    </row>
    <row r="7" spans="1:11" ht="15.75" thickTop="1" x14ac:dyDescent="0.25"/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le1_Copy_Text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able1_Delete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8CE3D-5C67-4587-8057-D204525A7E7C}">
  <sheetPr codeName="Sheet4"/>
  <dimension ref="A1:K12"/>
  <sheetViews>
    <sheetView workbookViewId="0">
      <selection activeCell="A2" sqref="A2:D10"/>
    </sheetView>
  </sheetViews>
  <sheetFormatPr defaultRowHeight="15" x14ac:dyDescent="0.25"/>
  <cols>
    <col min="1" max="1" width="16.140625" bestFit="1" customWidth="1"/>
    <col min="2" max="2" width="8.28515625" bestFit="1" customWidth="1"/>
    <col min="3" max="3" width="15.28515625" customWidth="1"/>
    <col min="4" max="4" width="65.7109375" customWidth="1"/>
    <col min="5" max="5" width="18.140625" hidden="1" customWidth="1"/>
    <col min="6" max="7" width="8.42578125" hidden="1" customWidth="1"/>
    <col min="8" max="8" width="15.140625" hidden="1" customWidth="1"/>
    <col min="9" max="9" width="14.28515625" customWidth="1"/>
  </cols>
  <sheetData>
    <row r="1" spans="1:11" ht="52.5" customHeight="1" thickBot="1" x14ac:dyDescent="0.3">
      <c r="A1" t="s">
        <v>0</v>
      </c>
      <c r="B1" t="s">
        <v>2</v>
      </c>
      <c r="C1" t="s">
        <v>1</v>
      </c>
      <c r="D1" t="s">
        <v>3</v>
      </c>
      <c r="E1" t="s">
        <v>5</v>
      </c>
      <c r="F1" t="s">
        <v>6</v>
      </c>
      <c r="G1" t="s">
        <v>8</v>
      </c>
      <c r="H1" t="s">
        <v>7</v>
      </c>
      <c r="I1" t="s">
        <v>4</v>
      </c>
    </row>
    <row r="2" spans="1:11" ht="16.5" thickTop="1" thickBot="1" x14ac:dyDescent="0.3">
      <c r="A2" s="4" t="s">
        <v>17</v>
      </c>
      <c r="B2" s="4" t="s">
        <v>9</v>
      </c>
      <c r="C2" s="4" t="s">
        <v>18</v>
      </c>
      <c r="D2" s="4" t="s">
        <v>19</v>
      </c>
      <c r="E2" t="str">
        <f>Table14[[#This Row],[Name]]</f>
        <v>attack</v>
      </c>
      <c r="F2" t="str">
        <f>SUBSTITUTE(SUBSTITUTE(LOWER(Table14[[#This Row],[Type]]),"decimal", "number"), "list", "array")</f>
        <v>0.3</v>
      </c>
      <c r="G2" s="3" t="str">
        <f>IF(Table14[[#This Row],[Ctype]]="string", CHAR(34) &amp; Table14[[#This Row],[Default Value]] &amp; CHAR(34), LOWER(Table14[[#This Row],[Default Value]]))</f>
        <v>decimal</v>
      </c>
      <c r="H2" t="str">
        <f>SUBSTITUTE(Table14[[#This Row],[Description]], CHAR(34), "\" &amp; CHAR(34))</f>
        <v>Amount of exhaustion applied when attacking.</v>
      </c>
      <c r="I2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"attack": {
      "title": "attack",
      "type": "0.3",
      "default": decimal,
      "description": "Amount of exhaustion applied when attacking."
    },</v>
      </c>
      <c r="K2" s="2"/>
    </row>
    <row r="3" spans="1:11" ht="16.5" thickTop="1" thickBot="1" x14ac:dyDescent="0.3">
      <c r="A3" s="4" t="s">
        <v>20</v>
      </c>
      <c r="B3" s="4" t="s">
        <v>9</v>
      </c>
      <c r="C3" s="4" t="s">
        <v>21</v>
      </c>
      <c r="D3" s="4" t="s">
        <v>22</v>
      </c>
      <c r="E3" t="str">
        <f>Table14[[#This Row],[Name]]</f>
        <v>damage</v>
      </c>
      <c r="F3" t="str">
        <f>SUBSTITUTE(SUBSTITUTE(LOWER(Table14[[#This Row],[Type]]),"decimal", "number"), "list", "array")</f>
        <v>0.1</v>
      </c>
      <c r="G3" s="3" t="str">
        <f>IF(Table14[[#This Row],[Ctype]]="string", CHAR(34) &amp; Table14[[#This Row],[Default Value]] &amp; CHAR(34), LOWER(Table14[[#This Row],[Default Value]]))</f>
        <v>decimal</v>
      </c>
      <c r="H3" t="str">
        <f>SUBSTITUTE(Table14[[#This Row],[Description]], CHAR(34), "\" &amp; CHAR(34))</f>
        <v>Amount of exhaustion applied when taking damage.</v>
      </c>
      <c r="I3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"damage": {
      "title": "damage",
      "type": "0.1",
      "default": decimal,
      "description": "Amount of exhaustion applied when taking damage."
    },</v>
      </c>
    </row>
    <row r="4" spans="1:11" ht="16.5" thickTop="1" thickBot="1" x14ac:dyDescent="0.3">
      <c r="A4" s="4" t="s">
        <v>23</v>
      </c>
      <c r="B4" s="4" t="s">
        <v>9</v>
      </c>
      <c r="C4" s="4">
        <v>3</v>
      </c>
      <c r="D4" s="4" t="s">
        <v>24</v>
      </c>
      <c r="E4" t="str">
        <f>Table14[[#This Row],[Name]]</f>
        <v>heal</v>
      </c>
      <c r="F4" t="str">
        <f>SUBSTITUTE(SUBSTITUTE(LOWER(Table14[[#This Row],[Type]]),"decimal", "number"), "list", "array")</f>
        <v>3</v>
      </c>
      <c r="G4" s="3" t="str">
        <f>IF(Table14[[#This Row],[Ctype]]="string", CHAR(34) &amp; Table14[[#This Row],[Default Value]] &amp; CHAR(34), LOWER(Table14[[#This Row],[Default Value]]))</f>
        <v>decimal</v>
      </c>
      <c r="H4" t="str">
        <f>SUBSTITUTE(Table14[[#This Row],[Description]], CHAR(34), "\" &amp; CHAR(34))</f>
        <v>Amount of exhaustion applied when healed through food regeneration.</v>
      </c>
      <c r="I4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"heal": {
      "title": "heal",
      "type": "3",
      "default": decimal,
      "description": "Amount of exhaustion applied when healed through food regeneration."
    },</v>
      </c>
    </row>
    <row r="5" spans="1:11" ht="16.5" thickTop="1" thickBot="1" x14ac:dyDescent="0.3">
      <c r="A5" s="4" t="s">
        <v>25</v>
      </c>
      <c r="B5" s="4" t="s">
        <v>9</v>
      </c>
      <c r="C5" s="4" t="s">
        <v>26</v>
      </c>
      <c r="D5" s="4" t="s">
        <v>27</v>
      </c>
      <c r="E5" t="str">
        <f>Table14[[#This Row],[Name]]</f>
        <v>jump</v>
      </c>
      <c r="F5" t="str">
        <f>SUBSTITUTE(SUBSTITUTE(LOWER(Table14[[#This Row],[Type]]),"decimal", "number"), "list", "array")</f>
        <v>0.2</v>
      </c>
      <c r="G5" s="3" t="str">
        <f>IF(Table14[[#This Row],[Ctype]]="string", CHAR(34) &amp; Table14[[#This Row],[Default Value]] &amp; CHAR(34), LOWER(Table14[[#This Row],[Default Value]]))</f>
        <v>decimal</v>
      </c>
      <c r="H5" t="str">
        <f>SUBSTITUTE(Table14[[#This Row],[Description]], CHAR(34), "\" &amp; CHAR(34))</f>
        <v>Amount of exhaustion applied when jumping.</v>
      </c>
      <c r="I5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"jump": {
      "title": "jump",
      "type": "0.2",
      "default": decimal,
      "description": "Amount of exhaustion applied when jumping."
    },</v>
      </c>
    </row>
    <row r="6" spans="1:11" ht="16.5" thickTop="1" thickBot="1" x14ac:dyDescent="0.3">
      <c r="A6" s="4" t="s">
        <v>28</v>
      </c>
      <c r="B6" s="4" t="s">
        <v>9</v>
      </c>
      <c r="C6" s="4" t="s">
        <v>29</v>
      </c>
      <c r="D6" s="4" t="s">
        <v>30</v>
      </c>
      <c r="E6" t="str">
        <f>Table14[[#This Row],[Name]]</f>
        <v>mine</v>
      </c>
      <c r="F6" t="str">
        <f>SUBSTITUTE(SUBSTITUTE(LOWER(Table14[[#This Row],[Type]]),"decimal", "number"), "list", "array")</f>
        <v>0.025</v>
      </c>
      <c r="G6" s="3" t="str">
        <f>IF(Table14[[#This Row],[Ctype]]="string", CHAR(34) &amp; Table14[[#This Row],[Default Value]] &amp; CHAR(34), LOWER(Table14[[#This Row],[Default Value]]))</f>
        <v>decimal</v>
      </c>
      <c r="H6" t="str">
        <f>SUBSTITUTE(Table14[[#This Row],[Description]], CHAR(34), "\" &amp; CHAR(34))</f>
        <v>Amount of exhaustion applied when mining.</v>
      </c>
      <c r="I6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"mine": {
      "title": "mine",
      "type": "0.025",
      "default": decimal,
      "description": "Amount of exhaustion applied when mining."
    },</v>
      </c>
    </row>
    <row r="7" spans="1:11" ht="16.5" thickTop="1" thickBot="1" x14ac:dyDescent="0.3">
      <c r="A7" s="4" t="s">
        <v>31</v>
      </c>
      <c r="B7" s="4" t="s">
        <v>9</v>
      </c>
      <c r="C7" s="4" t="s">
        <v>32</v>
      </c>
      <c r="D7" s="4" t="s">
        <v>33</v>
      </c>
      <c r="E7" t="str">
        <f>Table14[[#This Row],[Name]]</f>
        <v>sprint</v>
      </c>
      <c r="F7" t="str">
        <f>SUBSTITUTE(SUBSTITUTE(LOWER(Table14[[#This Row],[Type]]),"decimal", "number"), "list", "array")</f>
        <v>0.01</v>
      </c>
      <c r="G7" s="3" t="str">
        <f>IF(Table14[[#This Row],[Ctype]]="string", CHAR(34) &amp; Table14[[#This Row],[Default Value]] &amp; CHAR(34), LOWER(Table14[[#This Row],[Default Value]]))</f>
        <v>decimal</v>
      </c>
      <c r="H7" t="str">
        <f>SUBSTITUTE(Table14[[#This Row],[Description]], CHAR(34), "\" &amp; CHAR(34))</f>
        <v>Amount of exhaustion applied when sprinting.</v>
      </c>
      <c r="I7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"sprint": {
      "title": "sprint",
      "type": "0.01",
      "default": decimal,
      "description": "Amount of exhaustion applied when sprinting."
    },</v>
      </c>
    </row>
    <row r="8" spans="1:11" ht="16.5" thickTop="1" thickBot="1" x14ac:dyDescent="0.3">
      <c r="A8" s="4" t="s">
        <v>34</v>
      </c>
      <c r="B8" s="4" t="s">
        <v>9</v>
      </c>
      <c r="C8" s="4" t="s">
        <v>35</v>
      </c>
      <c r="D8" s="4" t="s">
        <v>36</v>
      </c>
      <c r="E8" t="str">
        <f>Table14[[#This Row],[Name]]</f>
        <v>sprint_jump</v>
      </c>
      <c r="F8" t="str">
        <f>SUBSTITUTE(SUBSTITUTE(LOWER(Table14[[#This Row],[Type]]),"decimal", "number"), "list", "array")</f>
        <v>0.8</v>
      </c>
      <c r="G8" s="3" t="str">
        <f>IF(Table14[[#This Row],[Ctype]]="string", CHAR(34) &amp; Table14[[#This Row],[Default Value]] &amp; CHAR(34), LOWER(Table14[[#This Row],[Default Value]]))</f>
        <v>decimal</v>
      </c>
      <c r="H8" t="str">
        <f>SUBSTITUTE(Table14[[#This Row],[Description]], CHAR(34), "\" &amp; CHAR(34))</f>
        <v>Amount of exhaustion applied when sprint jumping.</v>
      </c>
      <c r="I8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"sprint_jump": {
      "title": "sprint jump",
      "type": "0.8",
      "default": decimal,
      "description": "Amount of exhaustion applied when sprint jumping."
    },</v>
      </c>
    </row>
    <row r="9" spans="1:11" ht="16.5" thickTop="1" thickBot="1" x14ac:dyDescent="0.3">
      <c r="A9" s="4" t="s">
        <v>37</v>
      </c>
      <c r="B9" s="4" t="s">
        <v>9</v>
      </c>
      <c r="C9" s="4" t="s">
        <v>38</v>
      </c>
      <c r="D9" s="4" t="s">
        <v>39</v>
      </c>
      <c r="E9" t="str">
        <f>Table14[[#This Row],[Name]]</f>
        <v>swim</v>
      </c>
      <c r="F9" t="str">
        <f>SUBSTITUTE(SUBSTITUTE(LOWER(Table14[[#This Row],[Type]]),"decimal", "number"), "list", "array")</f>
        <v>0.015</v>
      </c>
      <c r="G9" s="3" t="str">
        <f>IF(Table14[[#This Row],[Ctype]]="string", CHAR(34) &amp; Table14[[#This Row],[Default Value]] &amp; CHAR(34), LOWER(Table14[[#This Row],[Default Value]]))</f>
        <v>decimal</v>
      </c>
      <c r="H9" t="str">
        <f>SUBSTITUTE(Table14[[#This Row],[Description]], CHAR(34), "\" &amp; CHAR(34))</f>
        <v>Amount of exhaustion applied when swimming.</v>
      </c>
      <c r="I9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"swim": {
      "title": "swim",
      "type": "0.015",
      "default": decimal,
      "description": "Amount of exhaustion applied when swimming."
    },</v>
      </c>
    </row>
    <row r="10" spans="1:11" ht="16.5" thickTop="1" thickBot="1" x14ac:dyDescent="0.3">
      <c r="A10" s="4" t="s">
        <v>40</v>
      </c>
      <c r="B10" s="4" t="s">
        <v>9</v>
      </c>
      <c r="C10" s="4" t="s">
        <v>32</v>
      </c>
      <c r="D10" s="4" t="s">
        <v>41</v>
      </c>
      <c r="E10" t="str">
        <f>Table14[[#This Row],[Name]]</f>
        <v>walk</v>
      </c>
      <c r="F10" t="str">
        <f>SUBSTITUTE(SUBSTITUTE(LOWER(Table14[[#This Row],[Type]]),"decimal", "number"), "list", "array")</f>
        <v>0.01</v>
      </c>
      <c r="G10" s="3" t="str">
        <f>IF(Table14[[#This Row],[Ctype]]="string", CHAR(34) &amp; Table14[[#This Row],[Default Value]] &amp; CHAR(34), LOWER(Table14[[#This Row],[Default Value]]))</f>
        <v>decimal</v>
      </c>
      <c r="H10" t="str">
        <f>SUBSTITUTE(Table14[[#This Row],[Description]], CHAR(34), "\" &amp; CHAR(34))</f>
        <v>Amount of exhaustion applied when walking.</v>
      </c>
      <c r="I10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"walk": {
      "title": "walk",
      "type": "0.01",
      "default": decimal,
      "description": "Amount of exhaustion applied when walking."
    },</v>
      </c>
    </row>
    <row r="11" spans="1:11" ht="18" thickTop="1" thickBot="1" x14ac:dyDescent="0.3">
      <c r="A11" s="5" t="s">
        <v>12</v>
      </c>
      <c r="B11" s="6" t="s">
        <v>10</v>
      </c>
      <c r="C11" s="5" t="s">
        <v>11</v>
      </c>
      <c r="D11" s="5" t="s">
        <v>13</v>
      </c>
      <c r="E11" t="str">
        <f>Table14[[#This Row],[Name]]</f>
        <v>trigger</v>
      </c>
      <c r="F11" t="str">
        <f>SUBSTITUTE(SUBSTITUTE(LOWER(Table14[[#This Row],[Type]]),"decimal", "number"), "list", "array")</f>
        <v>string</v>
      </c>
      <c r="G11" s="3" t="str">
        <f>IF(Table14[[#This Row],[Ctype]]="string", CHAR(34) &amp; Table14[[#This Row],[Default Value]] &amp; CHAR(34), LOWER(Table14[[#This Row],[Default Value]]))</f>
        <v>"not set"</v>
      </c>
      <c r="H11" t="str">
        <f>SUBSTITUTE(Table14[[#This Row],[Description]], CHAR(34), "\" &amp; CHAR(34))</f>
        <v>The event to trigger when attacking.</v>
      </c>
      <c r="I11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"trigger": {
      "title": "trigger",
      "type": "string",
      "default": "not set",
      "description": "The event to trigger when attacking."
    },</v>
      </c>
    </row>
    <row r="12" spans="1:11" ht="33" x14ac:dyDescent="0.25">
      <c r="A12" s="5" t="s">
        <v>14</v>
      </c>
      <c r="B12" s="5" t="s">
        <v>15</v>
      </c>
      <c r="C12" s="5" t="s">
        <v>9</v>
      </c>
      <c r="D12" s="5" t="s">
        <v>16</v>
      </c>
      <c r="E12" t="str">
        <f>Table14[[#This Row],[Name]]</f>
        <v>cooldown_range</v>
      </c>
      <c r="F12" t="str">
        <f>SUBSTITUTE(SUBSTITUTE(LOWER(Table14[[#This Row],[Type]]),"decimal", "number"), "list", "array")</f>
        <v>number</v>
      </c>
      <c r="G12" s="3" t="str">
        <f>IF(Table14[[#This Row],[Ctype]]="string", CHAR(34) &amp; Table14[[#This Row],[Default Value]] &amp; CHAR(34), LOWER(Table14[[#This Row],[Default Value]]))</f>
        <v>[10.0, 20.0]</v>
      </c>
      <c r="H12" t="str">
        <f>SUBSTITUTE(Table14[[#This Row],[Description]], CHAR(34), "\" &amp; CHAR(34))</f>
        <v>The minimum and maximum cooldown time-range in seconds between each attempted ram attack.</v>
      </c>
      <c r="I12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"cooldown_range": {
      "title": "cooldown range",
      "type": "number",
      "default": [10.0, 20.0],
      "description": "The minimum and maximum cooldown time-range in seconds between each attempted ram attack."
    },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able14_Copy_Text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able14_Delete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EC5E5-17BC-4A3C-B91C-5C00D91EAD6F}">
  <sheetPr codeName="Sheet2"/>
  <dimension ref="A1"/>
  <sheetViews>
    <sheetView workbookViewId="0">
      <selection activeCell="C23" sqref="C23"/>
    </sheetView>
  </sheetViews>
  <sheetFormatPr defaultRowHeight="15" x14ac:dyDescent="0.25"/>
  <cols>
    <col min="1" max="1" width="32.42578125" bestFit="1" customWidth="1"/>
  </cols>
  <sheetData>
    <row r="1" spans="1:1" ht="90" x14ac:dyDescent="0.25">
      <c r="A1" s="1" t="s">
        <v>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Item</vt:lpstr>
      <vt:lpstr>Sheet1</vt:lpstr>
      <vt:lpstr>Sheet2</vt:lpstr>
      <vt:lpstr>Data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daan verstraten</dc:creator>
  <cp:lastModifiedBy>Daan Verstraten</cp:lastModifiedBy>
  <dcterms:created xsi:type="dcterms:W3CDTF">2020-05-16T22:51:28Z</dcterms:created>
  <dcterms:modified xsi:type="dcterms:W3CDTF">2022-04-20T12:54:25Z</dcterms:modified>
</cp:coreProperties>
</file>