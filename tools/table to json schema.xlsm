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Software\VSCode-Bedrock-Development-Extension\minecraft-bedrock-schemas\tools\"/>
    </mc:Choice>
  </mc:AlternateContent>
  <xr:revisionPtr revIDLastSave="0" documentId="13_ncr:1_{C5144C5A-6E70-4623-927A-536FF9D96B27}" xr6:coauthVersionLast="47" xr6:coauthVersionMax="47" xr10:uidLastSave="{00000000-0000-0000-0000-000000000000}"/>
  <bookViews>
    <workbookView xWindow="-120" yWindow="-120" windowWidth="38640" windowHeight="21240" activeTab="2" xr2:uid="{03531832-3421-4F1A-B28C-9978E920E8BE}"/>
  </bookViews>
  <sheets>
    <sheet name="Item" sheetId="3" r:id="rId1"/>
    <sheet name="Sheet1" sheetId="1" r:id="rId2"/>
    <sheet name="Sheet2" sheetId="5" r:id="rId3"/>
    <sheet name="Data" sheetId="2" r:id="rId4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5" l="1"/>
  <c r="I3" i="5"/>
  <c r="I4" i="5"/>
  <c r="I5" i="5"/>
  <c r="I6" i="5"/>
  <c r="I7" i="5"/>
  <c r="I8" i="5"/>
  <c r="I9" i="5"/>
  <c r="I10" i="5"/>
  <c r="I11" i="5"/>
  <c r="I12" i="5"/>
  <c r="F2" i="5"/>
  <c r="G2" i="5" s="1"/>
  <c r="G3" i="5"/>
  <c r="G4" i="5"/>
  <c r="G5" i="5"/>
  <c r="G6" i="5"/>
  <c r="G7" i="5"/>
  <c r="G8" i="5"/>
  <c r="G9" i="5"/>
  <c r="G10" i="5"/>
  <c r="G11" i="5"/>
  <c r="G12" i="5"/>
  <c r="F3" i="5"/>
  <c r="F4" i="5"/>
  <c r="F5" i="5"/>
  <c r="F6" i="5"/>
  <c r="F7" i="5"/>
  <c r="F8" i="5"/>
  <c r="F9" i="5"/>
  <c r="F10" i="5"/>
  <c r="F11" i="5"/>
  <c r="F12" i="5"/>
  <c r="E2" i="5"/>
  <c r="E3" i="5"/>
  <c r="E4" i="5"/>
  <c r="E5" i="5"/>
  <c r="E6" i="5"/>
  <c r="E7" i="5"/>
  <c r="E8" i="5"/>
  <c r="E9" i="5"/>
  <c r="E10" i="5"/>
  <c r="E11" i="5"/>
  <c r="E12" i="5"/>
  <c r="H2" i="5"/>
  <c r="H3" i="5"/>
  <c r="H4" i="5"/>
  <c r="H5" i="5"/>
  <c r="H6" i="5"/>
  <c r="H7" i="5"/>
  <c r="H8" i="5"/>
  <c r="H9" i="5"/>
  <c r="H10" i="5"/>
  <c r="H11" i="5"/>
  <c r="H12" i="5"/>
  <c r="E2" i="1"/>
  <c r="E3" i="1"/>
  <c r="E4" i="1"/>
  <c r="E5" i="1"/>
  <c r="F2" i="1"/>
  <c r="G2" i="1" s="1"/>
  <c r="I2" i="1" s="1"/>
  <c r="F3" i="1"/>
  <c r="G3" i="1" s="1"/>
  <c r="F4" i="1"/>
  <c r="G4" i="1" s="1"/>
  <c r="I4" i="1" s="1"/>
  <c r="F5" i="1"/>
  <c r="G5" i="1" s="1"/>
  <c r="H2" i="1"/>
  <c r="H3" i="1"/>
  <c r="H4" i="1"/>
  <c r="H5" i="1"/>
  <c r="I5" i="1" l="1"/>
  <c r="I3" i="1"/>
  <c r="D2" i="3"/>
  <c r="E2" i="3"/>
  <c r="F2" i="3" s="1"/>
  <c r="G2" i="3"/>
  <c r="H2" i="3"/>
  <c r="K2" i="1" l="1"/>
  <c r="J2" i="3"/>
</calcChain>
</file>

<file path=xl/sharedStrings.xml><?xml version="1.0" encoding="utf-8"?>
<sst xmlns="http://schemas.openxmlformats.org/spreadsheetml/2006/main" count="79" uniqueCount="50">
  <si>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</si>
  <si>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</si>
  <si>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</si>
  <si>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</si>
  <si>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</si>
  <si>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</si>
  <si>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</si>
  <si>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</si>
  <si>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</si>
  <si>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 xml:space="preserve">    "$NAME$": {
      "type": "$TYPE$",
      "default": $VALUE$,
      "description": "$DESCRIPTION$",
      "title": "$TITLE$"
    },
</t>
  </si>
  <si>
    <t>ingredients</t>
  </si>
  <si>
    <t>array of item names</t>
  </si>
  <si>
    <t>items used as input (without a shape) for the recipe.</t>
  </si>
  <si>
    <t>Decimal</t>
  </si>
  <si>
    <t>filters</t>
  </si>
  <si>
    <t>Minecraft Filter</t>
  </si>
  <si>
    <t>Conditions that make this target a valid type.</t>
  </si>
  <si>
    <t>max_dist</t>
  </si>
  <si>
    <t>To be a valid target choice, the target type cannot be farther away from this entity than "max_dist".</t>
  </si>
  <si>
    <t>must_see</t>
  </si>
  <si>
    <t>Boolean</t>
  </si>
  <si>
    <t>Determines if target-validity requires this entity to be in range only, or both in range and in sight.</t>
  </si>
  <si>
    <t>must_see_forget_duration</t>
  </si>
  <si>
    <t>Time (in seconds) the target must not be seen by this entity to become invalid. Used only if "must_see" is true.</t>
  </si>
  <si>
    <t>ram_distance</t>
  </si>
  <si>
    <t>Integer</t>
  </si>
  <si>
    <t>The distance in blocks at which the mob will start to ram its target.</t>
  </si>
  <si>
    <t>min_ram_distance</t>
  </si>
  <si>
    <t>The minimum distance in blocks at which the mob can start a ram attack.</t>
  </si>
  <si>
    <t>knockback_force</t>
  </si>
  <si>
    <t>The force of the knockback of the ram's attack.</t>
  </si>
  <si>
    <t>baby_knockback_modifier</t>
  </si>
  <si>
    <t>The modifier to knockback for baby mobs.</t>
  </si>
  <si>
    <t>knockback_height</t>
  </si>
  <si>
    <t>The height in blocks of the knockback of the ram attack.</t>
  </si>
  <si>
    <t>run_speed</t>
  </si>
  <si>
    <t>Sets the mob's speed when running toward the target.</t>
  </si>
  <si>
    <t>ram_speed</t>
  </si>
  <si>
    <t>Sets the mob's speed when performing a ram attack toward the target.</t>
  </si>
  <si>
    <t>pre_ram_sound</t>
  </si>
  <si>
    <t>not set</t>
  </si>
  <si>
    <t>String</t>
  </si>
  <si>
    <t>The sound to play when the mob is about to perform a ram attack.</t>
  </si>
  <si>
    <t>ram_impact_sound</t>
  </si>
  <si>
    <t>The sound to play when the mob hits the target with a ram attack .</t>
  </si>
  <si>
    <t>trigger</t>
  </si>
  <si>
    <t>The event to trigger when attacking.</t>
  </si>
  <si>
    <t>cooldown_range</t>
  </si>
  <si>
    <t>[10.0, 20.0]</t>
  </si>
  <si>
    <t>The minimum and maximum cooldown time-range in seconds between each attempted ram attack.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</si>
</sst>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sz val="11"/>
      <color rgb="FFE6E6E6"/>
      <name val="Segoe UI"/>
      <family val="2"/>
    </font>
    <font>
      <i/>
      <sz val="11"/>
      <color rgb="FFE6E6E6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171717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  <xf numFmtId="0" fontId="3" fillId="2" borderId="3" xfId="0" applyFont="1" applyFill="1" applyBorder="1" applyAlignment="1">
      <alignment horizontal="left" vertical="top" wrapText="1"/>
    </xf>
    <xf numFmtId="0" fontId="4" fillId="2" borderId="3" xfId="0" applyFont="1" applyFill="1" applyBorder="1" applyAlignment="1">
      <alignment horizontal="left" vertical="top" wrapText="1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446C57-C8B9-4AD3-B032-91AD9E294BCC}" name="Table13" displayName="Table13" ref="A1:H2" totalsRowShown="0">
  <autoFilter ref="A1:H2" xr:uid="{439841C6-9CB3-4077-BD6A-80332BFA4FFA}"/>
  <sortState xmlns:xlrd2="http://schemas.microsoft.com/office/spreadsheetml/2017/richdata2" ref="A2:H2">
    <sortCondition ref="A1:A2"/>
  </sortState>
  <tableColumns count="8">
    <tableColumn id="1" xr3:uid="{CAE141B7-8304-420A-A1B3-D63EC10598B7}" name="Name"/>
    <tableColumn id="2" xr3:uid="{167B2AA6-D474-4333-A79A-8101562054ED}" name="Type"/>
    <tableColumn id="4" xr3:uid="{6E4D3870-543A-46B0-8EAE-220562CD8B4B}" name="Description"/>
    <tableColumn id="8" xr3:uid="{79476936-18F0-4A34-B22A-2CD82F63DCF4}" name="Cname">
      <calculatedColumnFormula>Table13[[#This Row],[Name]]</calculatedColumnFormula>
    </tableColumn>
    <tableColumn id="7" xr3:uid="{C2947D3C-98D6-4813-88A5-57032EB3B924}" name="Ctype">
      <calculatedColumnFormula>SUBSTITUTE(SUBSTITUTE(LOWER(Table13[[#This Row],[Type]]),"decimal", "number"), "list", "array")</calculatedColumnFormula>
    </tableColumn>
    <tableColumn id="9" xr3:uid="{785E0F0E-DAFE-4F6C-B94A-A2646AEA314A}" name="Cdefault" dataDxfId="6">
      <calculatedColumnFormula>IF(Table13[[#This Row],[Ctype]]="string", CHAR(34) &amp;#REF! &amp; CHAR(34), LOWER(#REF!))</calculatedColumnFormula>
    </tableColumn>
    <tableColumn id="6" xr3:uid="{38905391-079D-4DC7-95B4-296D43693D9F}" name="Cdescription">
      <calculatedColumnFormula>SUBSTITUTE(Table13[[#This Row],[Description]], CHAR(34), "\" &amp; CHAR(34))</calculatedColumnFormula>
    </tableColumn>
    <tableColumn id="5" xr3:uid="{ED53171A-0430-4004-8D17-583F8F163190}" name="Json Schema" dataDxfId="5">
      <calculatedColumnFormula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5" totalsRowShown="0">
  <autoFilter ref="A1:I5" xr:uid="{439841C6-9CB3-4077-BD6A-80332BFA4FFA}"/>
  <sortState xmlns:xlrd2="http://schemas.microsoft.com/office/spreadsheetml/2017/richdata2" ref="A2:I5">
    <sortCondition ref="A1:A5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4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3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4AF616-376F-47F0-AD2D-2C11C0D4B756}" name="Table14" displayName="Table14" ref="A1:I12" totalsRowShown="0">
  <autoFilter ref="A1:I12" xr:uid="{439841C6-9CB3-4077-BD6A-80332BFA4FFA}"/>
  <sortState xmlns:xlrd2="http://schemas.microsoft.com/office/spreadsheetml/2017/richdata2" ref="A2:I2">
    <sortCondition ref="A1:A5"/>
  </sortState>
  <tableColumns count="9">
    <tableColumn id="1" xr3:uid="{44A08CF4-8AEF-46C8-8501-5F2D1EB72A8E}" name="Name"/>
    <tableColumn id="2" xr3:uid="{6393EEBD-8CD4-4990-BA87-C270575B6882}" name="Default Value"/>
    <tableColumn id="3" xr3:uid="{6EED793A-2AA3-47E0-89BE-95855BB90671}" name="Type"/>
    <tableColumn id="4" xr3:uid="{3D93FF74-FF63-4DF7-9805-8DE93A92BF74}" name="Description"/>
    <tableColumn id="8" xr3:uid="{FAB00FDC-BE26-4D71-8038-D2FBEFFEF504}" name="Cname">
      <calculatedColumnFormula>Table14[[#This Row],[Name]]</calculatedColumnFormula>
    </tableColumn>
    <tableColumn id="7" xr3:uid="{7DB1CA88-F1ED-42F3-AE40-05FC1B746E52}" name="Ctype" dataDxfId="2">
      <calculatedColumnFormula>SUBSTITUTE(SUBSTITUTE(LOWER(Table14[[#This Row],[Type]]),"decimal", "number"), "list", "array")</calculatedColumnFormula>
    </tableColumn>
    <tableColumn id="9" xr3:uid="{904BCF27-C51A-47B7-B375-FF536F5BDAF2}" name="Cdefault" dataDxfId="1">
      <calculatedColumnFormula>IF(Table14[[#This Row],[Ctype]]="string", CHAR(34) &amp; Table14[[#This Row],[Default Value]] &amp; CHAR(34), LOWER(Table14[[#This Row],[Default Value]]))</calculatedColumnFormula>
    </tableColumn>
    <tableColumn id="6" xr3:uid="{DB7176BC-4592-4253-B8F9-38D43BA3D906}" name="Cdescription">
      <calculatedColumnFormula>SUBSTITUTE(Table14[[#This Row],[Description]], CHAR(34), "\" &amp; CHAR(34))</calculatedColumnFormula>
    </tableColumn>
    <tableColumn id="5" xr3:uid="{D37B5709-20AC-4724-AAFB-21732044F4BB}" name="Json Schema" dataDxfId="0">
      <calculatedColumnFormula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DFF6-A942-43EC-BF3A-8A01DF4D4042}">
  <sheetPr codeName="Sheet3"/>
  <dimension ref="A1:J3"/>
  <sheetViews>
    <sheetView workbookViewId="0">
      <selection activeCell="H23" sqref="H23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65.7109375" bestFit="1" customWidth="1"/>
    <col min="4" max="4" width="18.140625" hidden="1" customWidth="1"/>
    <col min="5" max="6" width="8.42578125" hidden="1" customWidth="1"/>
    <col min="7" max="7" width="15.140625" hidden="1" customWidth="1"/>
    <col min="8" max="8" width="14.28515625" customWidth="1"/>
  </cols>
  <sheetData>
    <row r="1" spans="1:10" ht="52.5" customHeight="1" thickBot="1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8</v>
      </c>
      <c r="G1" t="s">
        <v>7</v>
      </c>
      <c r="H1" t="s">
        <v>4</v>
      </c>
    </row>
    <row r="2" spans="1:10" ht="46.5" thickTop="1" thickBot="1" x14ac:dyDescent="0.3">
      <c r="A2" s="4" t="s">
        <v>10</v>
      </c>
      <c r="B2" s="4" t="s">
        <v>11</v>
      </c>
      <c r="C2" s="4" t="s">
        <v>12</v>
      </c>
      <c r="D2" t="str">
        <f>Table13[[#This Row],[Name]]</f>
        <v>ingredients</v>
      </c>
      <c r="E2" t="str">
        <f>SUBSTITUTE(SUBSTITUTE(LOWER(Table13[[#This Row],[Type]]),"decimal", "number"), "list", "array")</f>
        <v>array of item names</v>
      </c>
      <c r="F2" s="3" t="e">
        <f>IF(Table13[[#This Row],[Ctype]]="string", CHAR(34) &amp;#REF! &amp; CHAR(34), LOWER(#REF!))</f>
        <v>#REF!</v>
      </c>
      <c r="G2" t="str">
        <f>SUBSTITUTE(Table13[[#This Row],[Description]], CHAR(34), "\" &amp; CHAR(34))</f>
        <v>items used as input (without a shape) for the recipe.</v>
      </c>
      <c r="H2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"ingredients": {
      "type": "array of item names",
      "default": ,
      "description": "items used as input (without a shape) for the recipe.",
      "title": "ingredients"
    },
</v>
      </c>
      <c r="J2" s="2" t="str">
        <f>_xlfn.CONCAT(Table13[Json Schema])</f>
        <v xml:space="preserve">    "ingredients": {
      "type": "array of item names",
      "default": ,
      "description": "items used as input (without a shape) for the recipe.",
      "title": "ingredients"
    },
</v>
      </c>
    </row>
    <row r="3" spans="1:10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3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6"/>
  <sheetViews>
    <sheetView workbookViewId="0">
      <selection activeCell="L12" sqref="L12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31.5" thickTop="1" thickBot="1" x14ac:dyDescent="0.3">
      <c r="A2" s="4" t="s">
        <v>14</v>
      </c>
      <c r="B2" s="4" t="s">
        <v>15</v>
      </c>
      <c r="C2" s="4"/>
      <c r="D2" s="4" t="s">
        <v>16</v>
      </c>
      <c r="E2" t="str">
        <f>Table1[[#This Row],[Name]]</f>
        <v>filters</v>
      </c>
      <c r="F2" t="str">
        <f>SUBSTITUTE(SUBSTITUTE(LOWER(Table1[[#This Row],[Type]]),"decimal", "number"), "list", "array")</f>
        <v>minecraft filter</v>
      </c>
      <c r="G2" s="3" t="str">
        <f>IF(Table1[[#This Row],[Ctype]]="string", CHAR(34) &amp; Table1[[#This Row],[Default Value]] &amp; CHAR(34), LOWER(Table1[[#This Row],[Default Value]]))</f>
        <v/>
      </c>
      <c r="H2" t="str">
        <f>SUBSTITUTE(Table1[[#This Row],[Description]], CHAR(34), "\" &amp; CHAR(34))</f>
        <v>Conditions that make this target a valid type.</v>
      </c>
      <c r="I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"filters": {
      "type": "minecraft filter",
      "default": ,
      "description": "Conditions that make this target a valid type.",
      "title": "filters"
    },
</v>
      </c>
      <c r="K2" s="2" t="str">
        <f>_xlfn.CONCAT(Table1[Json Schema])</f>
        <v xml:space="preserve">    "filters": {
      "type": "minecraft filter",
      "default": ,
      "description": "Conditions that make this target a valid type.",
      "title": "filters"
    },
    "max_dist": {
      "type": "number",
      "default": 16,
      "description": "To be a valid target choice, the target type cannot be farther away from this entity than \"max_dist\".",
      "title": "max dist"
    },
    "must_see": {
      "type": "boolean",
      "default": false,
      "description": "Determines if target-validity requires this entity to be in range only, or both in range and in sight.",
      "title": "must see"
    },
    "must_see_forget_duration": {
      "type": "boolean",
      "default": 3,
      "description": "Time (in seconds) the target must not be seen by this entity to become invalid. Used only if \"must_see\" is true.",
      "title": "must see forget duration"
    },
</v>
      </c>
    </row>
    <row r="3" spans="1:11" ht="31.5" thickTop="1" thickBot="1" x14ac:dyDescent="0.3">
      <c r="A3" s="4" t="s">
        <v>17</v>
      </c>
      <c r="B3" s="4" t="s">
        <v>13</v>
      </c>
      <c r="C3" s="4">
        <v>16</v>
      </c>
      <c r="D3" s="4" t="s">
        <v>18</v>
      </c>
      <c r="E3" t="str">
        <f>Table1[[#This Row],[Name]]</f>
        <v>max_dist</v>
      </c>
      <c r="F3" t="str">
        <f>SUBSTITUTE(SUBSTITUTE(LOWER(Table1[[#This Row],[Type]]),"decimal", "number"), "list", "array")</f>
        <v>number</v>
      </c>
      <c r="G3" s="3" t="str">
        <f>IF(Table1[[#This Row],[Ctype]]="string", CHAR(34) &amp; Table1[[#This Row],[Default Value]] &amp; CHAR(34), LOWER(Table1[[#This Row],[Default Value]]))</f>
        <v>16</v>
      </c>
      <c r="H3" t="str">
        <f>SUBSTITUTE(Table1[[#This Row],[Description]], CHAR(34), "\" &amp; CHAR(34))</f>
        <v>To be a valid target choice, the target type cannot be farther away from this entity than \"max_dist\".</v>
      </c>
      <c r="I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"max_dist": {
      "type": "number",
      "default": 16,
      "description": "To be a valid target choice, the target type cannot be farther away from this entity than \"max_dist\".",
      "title": "max dist"
    },
</v>
      </c>
    </row>
    <row r="4" spans="1:11" ht="31.5" thickTop="1" thickBot="1" x14ac:dyDescent="0.3">
      <c r="A4" s="4" t="s">
        <v>19</v>
      </c>
      <c r="B4" s="4" t="s">
        <v>20</v>
      </c>
      <c r="C4" s="4" t="b">
        <v>0</v>
      </c>
      <c r="D4" s="4" t="s">
        <v>21</v>
      </c>
      <c r="E4" t="str">
        <f>Table1[[#This Row],[Name]]</f>
        <v>must_see</v>
      </c>
      <c r="F4" t="str">
        <f>SUBSTITUTE(SUBSTITUTE(LOWER(Table1[[#This Row],[Type]]),"decimal", "number"), "list", "array")</f>
        <v>boolean</v>
      </c>
      <c r="G4" s="3" t="str">
        <f>IF(Table1[[#This Row],[Ctype]]="string", CHAR(34) &amp; Table1[[#This Row],[Default Value]] &amp; CHAR(34), LOWER(Table1[[#This Row],[Default Value]]))</f>
        <v>false</v>
      </c>
      <c r="H4" t="str">
        <f>SUBSTITUTE(Table1[[#This Row],[Description]], CHAR(34), "\" &amp; CHAR(34))</f>
        <v>Determines if target-validity requires this entity to be in range only, or both in range and in sight.</v>
      </c>
      <c r="I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"must_see": {
      "type": "boolean",
      "default": false,
      "description": "Determines if target-validity requires this entity to be in range only, or both in range and in sight.",
      "title": "must see"
    },
</v>
      </c>
    </row>
    <row r="5" spans="1:11" ht="31.5" thickTop="1" thickBot="1" x14ac:dyDescent="0.3">
      <c r="A5" s="4" t="s">
        <v>22</v>
      </c>
      <c r="B5" s="4" t="s">
        <v>20</v>
      </c>
      <c r="C5" s="4">
        <v>3</v>
      </c>
      <c r="D5" s="4" t="s">
        <v>23</v>
      </c>
      <c r="E5" t="str">
        <f>Table1[[#This Row],[Name]]</f>
        <v>must_see_forget_duration</v>
      </c>
      <c r="F5" t="str">
        <f>SUBSTITUTE(SUBSTITUTE(LOWER(Table1[[#This Row],[Type]]),"decimal", "number"), "list", "array")</f>
        <v>boolean</v>
      </c>
      <c r="G5" s="3" t="str">
        <f>IF(Table1[[#This Row],[Ctype]]="string", CHAR(34) &amp; Table1[[#This Row],[Default Value]] &amp; CHAR(34), LOWER(Table1[[#This Row],[Default Value]]))</f>
        <v>3</v>
      </c>
      <c r="H5" t="str">
        <f>SUBSTITUTE(Table1[[#This Row],[Description]], CHAR(34), "\" &amp; CHAR(34))</f>
        <v>Time (in seconds) the target must not be seen by this entity to become invalid. Used only if \"must_see\" is true.</v>
      </c>
      <c r="I5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"must_see_forget_duration": {
      "type": "boolean",
      "default": 3,
      "description": "Time (in seconds) the target must not be seen by this entity to become invalid. Used only if \"must_see\" is true.",
      "title": "must see forget duration"
    },
</v>
      </c>
    </row>
    <row r="6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Macro2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8CE3D-5C67-4587-8057-D204525A7E7C}">
  <sheetPr codeName="Sheet4"/>
  <dimension ref="A1:K12"/>
  <sheetViews>
    <sheetView tabSelected="1" workbookViewId="0">
      <selection activeCell="I17" sqref="I17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2</v>
      </c>
      <c r="C1" t="s">
        <v>1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8" thickTop="1" thickBot="1" x14ac:dyDescent="0.3">
      <c r="A2" s="5" t="s">
        <v>24</v>
      </c>
      <c r="B2" s="5">
        <v>7</v>
      </c>
      <c r="C2" s="5" t="s">
        <v>25</v>
      </c>
      <c r="D2" s="5" t="s">
        <v>26</v>
      </c>
      <c r="E2" t="str">
        <f>Table14[[#This Row],[Name]]</f>
        <v>ram_distance</v>
      </c>
      <c r="F2" t="str">
        <f>SUBSTITUTE(SUBSTITUTE(LOWER(Table14[[#This Row],[Type]]),"decimal", "number"), "list", "array")</f>
        <v>integer</v>
      </c>
      <c r="G2" s="3" t="str">
        <f>IF(Table14[[#This Row],[Ctype]]="string", CHAR(34) &amp; Table14[[#This Row],[Default Value]] &amp; CHAR(34), LOWER(Table14[[#This Row],[Default Value]]))</f>
        <v>7</v>
      </c>
      <c r="H2" t="str">
        <f>SUBSTITUTE(Table14[[#This Row],[Description]], CHAR(34), "\" &amp; CHAR(34))</f>
        <v>The distance in blocks at which the mob will start to ram its target.</v>
      </c>
      <c r="I2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"ram_distance": {
      "type": "integer",
      "default": 7,
      "description": "The distance in blocks at which the mob will start to ram its target.",
      "title": "ram distance"
    },
</v>
      </c>
      <c r="K2" s="2"/>
    </row>
    <row r="3" spans="1:11" ht="34.5" thickTop="1" thickBot="1" x14ac:dyDescent="0.3">
      <c r="A3" s="5" t="s">
        <v>27</v>
      </c>
      <c r="B3" s="5">
        <v>4</v>
      </c>
      <c r="C3" s="5" t="s">
        <v>25</v>
      </c>
      <c r="D3" s="5" t="s">
        <v>28</v>
      </c>
      <c r="E3" t="str">
        <f>Table14[[#This Row],[Name]]</f>
        <v>min_ram_distance</v>
      </c>
      <c r="F3" t="str">
        <f>SUBSTITUTE(SUBSTITUTE(LOWER(Table14[[#This Row],[Type]]),"decimal", "number"), "list", "array")</f>
        <v>integer</v>
      </c>
      <c r="G3" s="3" t="str">
        <f>IF(Table14[[#This Row],[Ctype]]="string", CHAR(34) &amp; Table14[[#This Row],[Default Value]] &amp; CHAR(34), LOWER(Table14[[#This Row],[Default Value]]))</f>
        <v>4</v>
      </c>
      <c r="H3" t="str">
        <f>SUBSTITUTE(Table14[[#This Row],[Description]], CHAR(34), "\" &amp; CHAR(34))</f>
        <v>The minimum distance in blocks at which the mob can start a ram attack.</v>
      </c>
      <c r="I3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"min_ram_distance": {
      "type": "integer",
      "default": 4,
      "description": "The minimum distance in blocks at which the mob can start a ram attack.",
      "title": "min ram distance"
    },
</v>
      </c>
    </row>
    <row r="4" spans="1:11" ht="33.75" thickBot="1" x14ac:dyDescent="0.3">
      <c r="A4" s="5" t="s">
        <v>29</v>
      </c>
      <c r="B4" s="5">
        <v>5</v>
      </c>
      <c r="C4" s="5" t="s">
        <v>13</v>
      </c>
      <c r="D4" s="5" t="s">
        <v>30</v>
      </c>
      <c r="E4" t="str">
        <f>Table14[[#This Row],[Name]]</f>
        <v>knockback_force</v>
      </c>
      <c r="F4" t="str">
        <f>SUBSTITUTE(SUBSTITUTE(LOWER(Table14[[#This Row],[Type]]),"decimal", "number"), "list", "array")</f>
        <v>number</v>
      </c>
      <c r="G4" s="3" t="str">
        <f>IF(Table14[[#This Row],[Ctype]]="string", CHAR(34) &amp; Table14[[#This Row],[Default Value]] &amp; CHAR(34), LOWER(Table14[[#This Row],[Default Value]]))</f>
        <v>5</v>
      </c>
      <c r="H4" t="str">
        <f>SUBSTITUTE(Table14[[#This Row],[Description]], CHAR(34), "\" &amp; CHAR(34))</f>
        <v>The force of the knockback of the ram's attack.</v>
      </c>
      <c r="I4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"knockback_force": {
      "type": "number",
      "default": 5,
      "description": "The force of the knockback of the ram's attack.",
      "title": "knockback force"
    },
</v>
      </c>
    </row>
    <row r="5" spans="1:11" ht="33.75" thickBot="1" x14ac:dyDescent="0.3">
      <c r="A5" s="5" t="s">
        <v>31</v>
      </c>
      <c r="B5" s="5">
        <v>4</v>
      </c>
      <c r="C5" s="5" t="s">
        <v>25</v>
      </c>
      <c r="D5" s="5" t="s">
        <v>32</v>
      </c>
      <c r="E5" t="str">
        <f>Table14[[#This Row],[Name]]</f>
        <v>baby_knockback_modifier</v>
      </c>
      <c r="F5" t="str">
        <f>SUBSTITUTE(SUBSTITUTE(LOWER(Table14[[#This Row],[Type]]),"decimal", "number"), "list", "array")</f>
        <v>integer</v>
      </c>
      <c r="G5" s="3" t="str">
        <f>IF(Table14[[#This Row],[Ctype]]="string", CHAR(34) &amp; Table14[[#This Row],[Default Value]] &amp; CHAR(34), LOWER(Table14[[#This Row],[Default Value]]))</f>
        <v>4</v>
      </c>
      <c r="H5" t="str">
        <f>SUBSTITUTE(Table14[[#This Row],[Description]], CHAR(34), "\" &amp; CHAR(34))</f>
        <v>The modifier to knockback for baby mobs.</v>
      </c>
      <c r="I5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"baby_knockback_modifier": {
      "type": "integer",
      "default": 4,
      "description": "The modifier to knockback for baby mobs.",
      "title": "baby knockback modifier"
    },
</v>
      </c>
    </row>
    <row r="6" spans="1:11" ht="33.75" thickBot="1" x14ac:dyDescent="0.3">
      <c r="A6" s="5" t="s">
        <v>33</v>
      </c>
      <c r="B6" s="5">
        <v>0.1</v>
      </c>
      <c r="C6" s="5" t="s">
        <v>13</v>
      </c>
      <c r="D6" s="5" t="s">
        <v>34</v>
      </c>
      <c r="E6" t="str">
        <f>Table14[[#This Row],[Name]]</f>
        <v>knockback_height</v>
      </c>
      <c r="F6" t="str">
        <f>SUBSTITUTE(SUBSTITUTE(LOWER(Table14[[#This Row],[Type]]),"decimal", "number"), "list", "array")</f>
        <v>number</v>
      </c>
      <c r="G6" s="3" t="str">
        <f>IF(Table14[[#This Row],[Ctype]]="string", CHAR(34) &amp; Table14[[#This Row],[Default Value]] &amp; CHAR(34), LOWER(Table14[[#This Row],[Default Value]]))</f>
        <v>0.1</v>
      </c>
      <c r="H6" t="str">
        <f>SUBSTITUTE(Table14[[#This Row],[Description]], CHAR(34), "\" &amp; CHAR(34))</f>
        <v>The height in blocks of the knockback of the ram attack.</v>
      </c>
      <c r="I6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"knockback_height": {
      "type": "number",
      "default": 0.1,
      "description": "The height in blocks of the knockback of the ram attack.",
      "title": "knockback height"
    },
</v>
      </c>
    </row>
    <row r="7" spans="1:11" ht="17.25" thickBot="1" x14ac:dyDescent="0.3">
      <c r="A7" s="5" t="s">
        <v>35</v>
      </c>
      <c r="B7" s="5">
        <v>1</v>
      </c>
      <c r="C7" s="5" t="s">
        <v>13</v>
      </c>
      <c r="D7" s="5" t="s">
        <v>36</v>
      </c>
      <c r="E7" t="str">
        <f>Table14[[#This Row],[Name]]</f>
        <v>run_speed</v>
      </c>
      <c r="F7" t="str">
        <f>SUBSTITUTE(SUBSTITUTE(LOWER(Table14[[#This Row],[Type]]),"decimal", "number"), "list", "array")</f>
        <v>number</v>
      </c>
      <c r="G7" s="3" t="str">
        <f>IF(Table14[[#This Row],[Ctype]]="string", CHAR(34) &amp; Table14[[#This Row],[Default Value]] &amp; CHAR(34), LOWER(Table14[[#This Row],[Default Value]]))</f>
        <v>1</v>
      </c>
      <c r="H7" t="str">
        <f>SUBSTITUTE(Table14[[#This Row],[Description]], CHAR(34), "\" &amp; CHAR(34))</f>
        <v>Sets the mob's speed when running toward the target.</v>
      </c>
      <c r="I7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"run_speed": {
      "type": "number",
      "default": 1,
      "description": "Sets the mob's speed when running toward the target.",
      "title": "run speed"
    },
</v>
      </c>
    </row>
    <row r="8" spans="1:11" ht="33.75" thickBot="1" x14ac:dyDescent="0.3">
      <c r="A8" s="5" t="s">
        <v>37</v>
      </c>
      <c r="B8" s="5">
        <v>2</v>
      </c>
      <c r="C8" s="5" t="s">
        <v>13</v>
      </c>
      <c r="D8" s="5" t="s">
        <v>38</v>
      </c>
      <c r="E8" t="str">
        <f>Table14[[#This Row],[Name]]</f>
        <v>ram_speed</v>
      </c>
      <c r="F8" t="str">
        <f>SUBSTITUTE(SUBSTITUTE(LOWER(Table14[[#This Row],[Type]]),"decimal", "number"), "list", "array")</f>
        <v>number</v>
      </c>
      <c r="G8" s="3" t="str">
        <f>IF(Table14[[#This Row],[Ctype]]="string", CHAR(34) &amp; Table14[[#This Row],[Default Value]] &amp; CHAR(34), LOWER(Table14[[#This Row],[Default Value]]))</f>
        <v>2</v>
      </c>
      <c r="H8" t="str">
        <f>SUBSTITUTE(Table14[[#This Row],[Description]], CHAR(34), "\" &amp; CHAR(34))</f>
        <v>Sets the mob's speed when performing a ram attack toward the target.</v>
      </c>
      <c r="I8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"ram_speed": {
      "type": "number",
      "default": 2,
      "description": "Sets the mob's speed when performing a ram attack toward the target.",
      "title": "ram speed"
    },
</v>
      </c>
    </row>
    <row r="9" spans="1:11" ht="17.25" thickBot="1" x14ac:dyDescent="0.3">
      <c r="A9" s="5" t="s">
        <v>39</v>
      </c>
      <c r="B9" s="6" t="s">
        <v>40</v>
      </c>
      <c r="C9" s="5" t="s">
        <v>41</v>
      </c>
      <c r="D9" s="5" t="s">
        <v>42</v>
      </c>
      <c r="E9" t="str">
        <f>Table14[[#This Row],[Name]]</f>
        <v>pre_ram_sound</v>
      </c>
      <c r="F9" t="str">
        <f>SUBSTITUTE(SUBSTITUTE(LOWER(Table14[[#This Row],[Type]]),"decimal", "number"), "list", "array")</f>
        <v>string</v>
      </c>
      <c r="G9" s="3" t="str">
        <f>IF(Table14[[#This Row],[Ctype]]="string", CHAR(34) &amp; Table14[[#This Row],[Default Value]] &amp; CHAR(34), LOWER(Table14[[#This Row],[Default Value]]))</f>
        <v>"not set"</v>
      </c>
      <c r="H9" t="str">
        <f>SUBSTITUTE(Table14[[#This Row],[Description]], CHAR(34), "\" &amp; CHAR(34))</f>
        <v>The sound to play when the mob is about to perform a ram attack.</v>
      </c>
      <c r="I9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"pre_ram_sound": {
      "type": "string",
      "default": "not set",
      "description": "The sound to play when the mob is about to perform a ram attack.",
      "title": "pre ram sound"
    },
</v>
      </c>
    </row>
    <row r="10" spans="1:11" ht="33.75" thickBot="1" x14ac:dyDescent="0.3">
      <c r="A10" s="5" t="s">
        <v>43</v>
      </c>
      <c r="B10" s="6" t="s">
        <v>40</v>
      </c>
      <c r="C10" s="5" t="s">
        <v>41</v>
      </c>
      <c r="D10" s="5" t="s">
        <v>44</v>
      </c>
      <c r="E10" t="str">
        <f>Table14[[#This Row],[Name]]</f>
        <v>ram_impact_sound</v>
      </c>
      <c r="F10" t="str">
        <f>SUBSTITUTE(SUBSTITUTE(LOWER(Table14[[#This Row],[Type]]),"decimal", "number"), "list", "array")</f>
        <v>string</v>
      </c>
      <c r="G10" s="3" t="str">
        <f>IF(Table14[[#This Row],[Ctype]]="string", CHAR(34) &amp; Table14[[#This Row],[Default Value]] &amp; CHAR(34), LOWER(Table14[[#This Row],[Default Value]]))</f>
        <v>"not set"</v>
      </c>
      <c r="H10" t="str">
        <f>SUBSTITUTE(Table14[[#This Row],[Description]], CHAR(34), "\" &amp; CHAR(34))</f>
        <v>The sound to play when the mob hits the target with a ram attack .</v>
      </c>
      <c r="I10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"ram_impact_sound": {
      "type": "string",
      "default": "not set",
      "description": "The sound to play when the mob hits the target with a ram attack .",
      "title": "ram impact sound"
    },
</v>
      </c>
    </row>
    <row r="11" spans="1:11" ht="17.25" thickBot="1" x14ac:dyDescent="0.3">
      <c r="A11" s="5" t="s">
        <v>45</v>
      </c>
      <c r="B11" s="6" t="s">
        <v>40</v>
      </c>
      <c r="C11" s="5" t="s">
        <v>41</v>
      </c>
      <c r="D11" s="5" t="s">
        <v>46</v>
      </c>
      <c r="E11" t="str">
        <f>Table14[[#This Row],[Name]]</f>
        <v>trigger</v>
      </c>
      <c r="F11" t="str">
        <f>SUBSTITUTE(SUBSTITUTE(LOWER(Table14[[#This Row],[Type]]),"decimal", "number"), "list", "array")</f>
        <v>string</v>
      </c>
      <c r="G11" s="3" t="str">
        <f>IF(Table14[[#This Row],[Ctype]]="string", CHAR(34) &amp; Table14[[#This Row],[Default Value]] &amp; CHAR(34), LOWER(Table14[[#This Row],[Default Value]]))</f>
        <v>"not set"</v>
      </c>
      <c r="H11" t="str">
        <f>SUBSTITUTE(Table14[[#This Row],[Description]], CHAR(34), "\" &amp; CHAR(34))</f>
        <v>The event to trigger when attacking.</v>
      </c>
      <c r="I11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"trigger": {
      "type": "string",
      "default": "not set",
      "description": "The event to trigger when attacking.",
      "title": "trigger"
    },
</v>
      </c>
    </row>
    <row r="12" spans="1:11" ht="33" x14ac:dyDescent="0.25">
      <c r="A12" s="5" t="s">
        <v>47</v>
      </c>
      <c r="B12" s="5" t="s">
        <v>48</v>
      </c>
      <c r="C12" s="5" t="s">
        <v>13</v>
      </c>
      <c r="D12" s="5" t="s">
        <v>49</v>
      </c>
      <c r="E12" t="str">
        <f>Table14[[#This Row],[Name]]</f>
        <v>cooldown_range</v>
      </c>
      <c r="F12" t="str">
        <f>SUBSTITUTE(SUBSTITUTE(LOWER(Table14[[#This Row],[Type]]),"decimal", "number"), "list", "array")</f>
        <v>number</v>
      </c>
      <c r="G12" s="3" t="str">
        <f>IF(Table14[[#This Row],[Ctype]]="string", CHAR(34) &amp; Table14[[#This Row],[Default Value]] &amp; CHAR(34), LOWER(Table14[[#This Row],[Default Value]]))</f>
        <v>[10.0, 20.0]</v>
      </c>
      <c r="H12" t="str">
        <f>SUBSTITUTE(Table14[[#This Row],[Description]], CHAR(34), "\" &amp; CHAR(34))</f>
        <v>The minimum and maximum cooldown time-range in seconds between each attempted ram attack.</v>
      </c>
      <c r="I12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"cooldown_range": {
      "type": "number",
      "default": [10.0, 20.0],
      "description": "The minimum and maximum cooldown time-range in seconds between each attempted ram attack.",
      "title": "cooldown range"
    },
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able14_Copy_Tex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able14_Delet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/>
  </sheetViews>
  <sheetFormatPr defaultRowHeight="15" x14ac:dyDescent="0.25"/>
  <cols>
    <col min="1" max="1" width="32.42578125" bestFit="1" customWidth="1"/>
  </cols>
  <sheetData>
    <row r="1" spans="1:1" ht="120" x14ac:dyDescent="0.25">
      <c r="A1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Item</vt:lpstr>
      <vt:lpstr>Sheet1</vt:lpstr>
      <vt:lpstr>Sheet2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2021-07-02T12:09:06Z</dcterms:modified>
</cp:coreProperties>
</file>